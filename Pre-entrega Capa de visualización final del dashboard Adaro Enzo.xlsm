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aro\Downloads\"/>
    </mc:Choice>
  </mc:AlternateContent>
  <xr:revisionPtr revIDLastSave="0" documentId="13_ncr:1_{9C9E4845-7CEC-4CA5-AF85-7C8BF2EA3191}" xr6:coauthVersionLast="47" xr6:coauthVersionMax="47" xr10:uidLastSave="{00000000-0000-0000-0000-000000000000}"/>
  <bookViews>
    <workbookView xWindow="-120" yWindow="-120" windowWidth="29040" windowHeight="15720" firstSheet="1" activeTab="6" xr2:uid="{00000000-000D-0000-FFFF-FFFF00000000}"/>
  </bookViews>
  <sheets>
    <sheet name="Datos_Crudos" sheetId="1" state="veryHidden" r:id="rId1"/>
    <sheet name="Datos_Limpios_PQ" sheetId="2" r:id="rId2"/>
    <sheet name="Evaluación_Financiera" sheetId="3" state="veryHidden" r:id="rId3"/>
    <sheet name="Dashboard_Ejecutivo" sheetId="4" state="hidden" r:id="rId4"/>
    <sheet name="Configuración" sheetId="5" state="hidden" r:id="rId5"/>
    <sheet name="Modelo_Dashboard" sheetId="6" state="hidden" r:id="rId6"/>
    <sheet name="Dashboard Final" sheetId="7" r:id="rId7"/>
    <sheet name="Analisis_IA" sheetId="8" r:id="rId8"/>
  </sheets>
  <definedNames>
    <definedName name="_xlnm.Print_Area" localSheetId="3">Dashboard_Ejecutivo!$A$1:$H$34</definedName>
    <definedName name="SegmentaciónDeDatos_Año">#N/A</definedName>
    <definedName name="SegmentaciónDeDatos_Barrio">#N/A</definedName>
    <definedName name="SegmentaciónDeDatos_Categoría">#N/A</definedName>
  </definedNames>
  <calcPr calcId="191029"/>
  <pivotCaches>
    <pivotCache cacheId="0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0"/>
        <x14:slicerCache r:id="rId11"/>
        <x14:slicerCache r:id="rId12"/>
      </x15:slicerCache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1" i="7" l="1"/>
  <c r="A40" i="7"/>
  <c r="A15" i="7"/>
  <c r="J6" i="7"/>
  <c r="G6" i="7"/>
  <c r="D6" i="7"/>
  <c r="A6" i="7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S201" i="2"/>
  <c r="S200" i="2"/>
  <c r="S199" i="2"/>
  <c r="S198" i="2"/>
  <c r="S197" i="2"/>
  <c r="S196" i="2"/>
  <c r="S195" i="2"/>
  <c r="S194" i="2"/>
  <c r="S193" i="2"/>
  <c r="S192" i="2"/>
  <c r="S191" i="2"/>
  <c r="S190" i="2"/>
  <c r="S189" i="2"/>
  <c r="S188" i="2"/>
  <c r="S187" i="2"/>
  <c r="S186" i="2"/>
  <c r="S185" i="2"/>
  <c r="S184" i="2"/>
  <c r="S183" i="2"/>
  <c r="S182" i="2"/>
  <c r="S181" i="2"/>
  <c r="S180" i="2"/>
  <c r="S179" i="2"/>
  <c r="S178" i="2"/>
  <c r="S177" i="2"/>
  <c r="S176" i="2"/>
  <c r="S175" i="2"/>
  <c r="S174" i="2"/>
  <c r="S173" i="2"/>
  <c r="S172" i="2"/>
  <c r="S171" i="2"/>
  <c r="S170" i="2"/>
  <c r="S169" i="2"/>
  <c r="S168" i="2"/>
  <c r="S167" i="2"/>
  <c r="S166" i="2"/>
  <c r="S165" i="2"/>
  <c r="S164" i="2"/>
  <c r="S163" i="2"/>
  <c r="S162" i="2"/>
  <c r="S161" i="2"/>
  <c r="S160" i="2"/>
  <c r="S159" i="2"/>
  <c r="S158" i="2"/>
  <c r="S157" i="2"/>
  <c r="S156" i="2"/>
  <c r="S155" i="2"/>
  <c r="S154" i="2"/>
  <c r="S153" i="2"/>
  <c r="S152" i="2"/>
  <c r="S151" i="2"/>
  <c r="S150" i="2"/>
  <c r="S149" i="2"/>
  <c r="S148" i="2"/>
  <c r="S147" i="2"/>
  <c r="S146" i="2"/>
  <c r="S145" i="2"/>
  <c r="S144" i="2"/>
  <c r="S143" i="2"/>
  <c r="S142" i="2"/>
  <c r="S141" i="2"/>
  <c r="S140" i="2"/>
  <c r="S139" i="2"/>
  <c r="S138" i="2"/>
  <c r="S137" i="2"/>
  <c r="S136" i="2"/>
  <c r="S135" i="2"/>
  <c r="S134" i="2"/>
  <c r="S133" i="2"/>
  <c r="S132" i="2"/>
  <c r="S131" i="2"/>
  <c r="S130" i="2"/>
  <c r="S129" i="2"/>
  <c r="S128" i="2"/>
  <c r="S127" i="2"/>
  <c r="S126" i="2"/>
  <c r="S125" i="2"/>
  <c r="S124" i="2"/>
  <c r="S123" i="2"/>
  <c r="S122" i="2"/>
  <c r="S121" i="2"/>
  <c r="S120" i="2"/>
  <c r="S119" i="2"/>
  <c r="S118" i="2"/>
  <c r="S117" i="2"/>
  <c r="S116" i="2"/>
  <c r="S115" i="2"/>
  <c r="S114" i="2"/>
  <c r="S113" i="2"/>
  <c r="S112" i="2"/>
  <c r="S111" i="2"/>
  <c r="S110" i="2"/>
  <c r="S109" i="2"/>
  <c r="S108" i="2"/>
  <c r="S107" i="2"/>
  <c r="S106" i="2"/>
  <c r="S105" i="2"/>
  <c r="S104" i="2"/>
  <c r="S103" i="2"/>
  <c r="S102" i="2"/>
  <c r="S101" i="2"/>
  <c r="S100" i="2"/>
  <c r="S99" i="2"/>
  <c r="S98" i="2"/>
  <c r="S97" i="2"/>
  <c r="S96" i="2"/>
  <c r="S95" i="2"/>
  <c r="S94" i="2"/>
  <c r="S93" i="2"/>
  <c r="S92" i="2"/>
  <c r="S91" i="2"/>
  <c r="S90" i="2"/>
  <c r="S89" i="2"/>
  <c r="S88" i="2"/>
  <c r="S87" i="2"/>
  <c r="S86" i="2"/>
  <c r="S85" i="2"/>
  <c r="S84" i="2"/>
  <c r="S83" i="2"/>
  <c r="S82" i="2"/>
  <c r="S81" i="2"/>
  <c r="S80" i="2"/>
  <c r="S79" i="2"/>
  <c r="S78" i="2"/>
  <c r="S77" i="2"/>
  <c r="S76" i="2"/>
  <c r="S75" i="2"/>
  <c r="S74" i="2"/>
  <c r="S73" i="2"/>
  <c r="S72" i="2"/>
  <c r="S71" i="2"/>
  <c r="S70" i="2"/>
  <c r="S69" i="2"/>
  <c r="S68" i="2"/>
  <c r="S67" i="2"/>
  <c r="S66" i="2"/>
  <c r="S65" i="2"/>
  <c r="S64" i="2"/>
  <c r="S63" i="2"/>
  <c r="S62" i="2"/>
  <c r="S61" i="2"/>
  <c r="S60" i="2"/>
  <c r="S59" i="2"/>
  <c r="S58" i="2"/>
  <c r="S57" i="2"/>
  <c r="S56" i="2"/>
  <c r="S55" i="2"/>
  <c r="S54" i="2"/>
  <c r="S53" i="2"/>
  <c r="S52" i="2"/>
  <c r="S51" i="2"/>
  <c r="S50" i="2"/>
  <c r="S49" i="2"/>
  <c r="S48" i="2"/>
  <c r="S47" i="2"/>
  <c r="S46" i="2"/>
  <c r="S45" i="2"/>
  <c r="S44" i="2"/>
  <c r="S43" i="2"/>
  <c r="S42" i="2"/>
  <c r="S41" i="2"/>
  <c r="S40" i="2"/>
  <c r="S39" i="2"/>
  <c r="S38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U2" i="2"/>
  <c r="T2" i="2"/>
  <c r="S2" i="2"/>
  <c r="B19" i="3"/>
  <c r="B17" i="3"/>
  <c r="B15" i="3"/>
  <c r="B14" i="3"/>
  <c r="B9" i="3"/>
  <c r="B3" i="5"/>
  <c r="G19" i="4"/>
  <c r="F19" i="4"/>
  <c r="G18" i="4"/>
  <c r="F18" i="4"/>
  <c r="G17" i="4"/>
  <c r="F17" i="4"/>
  <c r="G16" i="4"/>
  <c r="F16" i="4"/>
  <c r="G15" i="4"/>
  <c r="F15" i="4"/>
  <c r="C15" i="4"/>
  <c r="B15" i="4"/>
  <c r="G14" i="4"/>
  <c r="F14" i="4"/>
  <c r="C14" i="4"/>
  <c r="B14" i="4"/>
  <c r="G13" i="4"/>
  <c r="F13" i="4"/>
  <c r="C13" i="4"/>
  <c r="B13" i="4"/>
  <c r="G12" i="4"/>
  <c r="F12" i="4"/>
  <c r="C12" i="4"/>
  <c r="B12" i="4"/>
  <c r="B8" i="4"/>
  <c r="B6" i="4"/>
  <c r="B5" i="4"/>
  <c r="M6" i="7" l="1"/>
  <c r="B7" i="4"/>
</calcChain>
</file>

<file path=xl/sharedStrings.xml><?xml version="1.0" encoding="utf-8"?>
<sst xmlns="http://schemas.openxmlformats.org/spreadsheetml/2006/main" count="3754" uniqueCount="140">
  <si>
    <t>ID_Venta</t>
  </si>
  <si>
    <t>Fecha</t>
  </si>
  <si>
    <t>Cliente_Tipo</t>
  </si>
  <si>
    <t>Producto</t>
  </si>
  <si>
    <t>Categoría</t>
  </si>
  <si>
    <t>Canal</t>
  </si>
  <si>
    <t>Barrio</t>
  </si>
  <si>
    <t>Comuna</t>
  </si>
  <si>
    <t>CP</t>
  </si>
  <si>
    <t>Cantidad</t>
  </si>
  <si>
    <t>Precio_Unitario</t>
  </si>
  <si>
    <t>Costo_Unitario</t>
  </si>
  <si>
    <t>Ventas</t>
  </si>
  <si>
    <t>Costo_Total</t>
  </si>
  <si>
    <t>Margen</t>
  </si>
  <si>
    <t>Margen_%</t>
  </si>
  <si>
    <t>Medio_Pago</t>
  </si>
  <si>
    <t>Estado</t>
  </si>
  <si>
    <t>Empresa</t>
  </si>
  <si>
    <t>Cargador USB-C</t>
  </si>
  <si>
    <t>Accesorios</t>
  </si>
  <si>
    <t>Tienda online</t>
  </si>
  <si>
    <t>Caballito</t>
  </si>
  <si>
    <t>6</t>
  </si>
  <si>
    <t>1405</t>
  </si>
  <si>
    <t>Efectivo</t>
  </si>
  <si>
    <t>Completada</t>
  </si>
  <si>
    <t>Particular</t>
  </si>
  <si>
    <t>Celular A15</t>
  </si>
  <si>
    <t>Celulares</t>
  </si>
  <si>
    <t>Almagro</t>
  </si>
  <si>
    <t>5</t>
  </si>
  <si>
    <t>1180</t>
  </si>
  <si>
    <t>Transferencia</t>
  </si>
  <si>
    <t>Cámara WiFi</t>
  </si>
  <si>
    <t>Hogar conectado</t>
  </si>
  <si>
    <t>Belgrano</t>
  </si>
  <si>
    <t>13</t>
  </si>
  <si>
    <t>1428</t>
  </si>
  <si>
    <t>Tarjeta</t>
  </si>
  <si>
    <t>Cámara Exterior</t>
  </si>
  <si>
    <t>Mercado Pago</t>
  </si>
  <si>
    <t>Celular S24</t>
  </si>
  <si>
    <t>Colegiales</t>
  </si>
  <si>
    <t>1426</t>
  </si>
  <si>
    <t>Sucursal</t>
  </si>
  <si>
    <t>Flores</t>
  </si>
  <si>
    <t>7</t>
  </si>
  <si>
    <t>1406</t>
  </si>
  <si>
    <t>Auriculares BT</t>
  </si>
  <si>
    <t>Tablet 10</t>
  </si>
  <si>
    <t>Tablets</t>
  </si>
  <si>
    <t>Palermo</t>
  </si>
  <si>
    <t>14</t>
  </si>
  <si>
    <t>1425</t>
  </si>
  <si>
    <t>Tablet Pro</t>
  </si>
  <si>
    <t>San Telmo</t>
  </si>
  <si>
    <t>1</t>
  </si>
  <si>
    <t>1066</t>
  </si>
  <si>
    <t>Boedo</t>
  </si>
  <si>
    <t>1239</t>
  </si>
  <si>
    <t>Celular Redmi Note</t>
  </si>
  <si>
    <t>Funda Premium</t>
  </si>
  <si>
    <t>FLUJO ETL – POWER QUERY</t>
  </si>
  <si>
    <t>Origen: Datos_Crudos</t>
  </si>
  <si>
    <t>Tipos corregidos, textos estandarizados, nulos filtrados y columnas relevantes.</t>
  </si>
  <si>
    <t>Salida reproducible: Datos_Limpios_PQ</t>
  </si>
  <si>
    <t>EVALUACIÓN FINANCIERA – EXPANSIÓN</t>
  </si>
  <si>
    <t>Inversión inicial</t>
  </si>
  <si>
    <t>Monto préstamo</t>
  </si>
  <si>
    <t>Tasa anual</t>
  </si>
  <si>
    <t>Plazo préstamo (meses)</t>
  </si>
  <si>
    <t>Tasa descuento anual</t>
  </si>
  <si>
    <t>PAGO mensual</t>
  </si>
  <si>
    <t>Flujo de caja</t>
  </si>
  <si>
    <t>Año 0</t>
  </si>
  <si>
    <t>Año 1</t>
  </si>
  <si>
    <t>Año 2</t>
  </si>
  <si>
    <t>Año 3</t>
  </si>
  <si>
    <t>Año 4</t>
  </si>
  <si>
    <t>Año 5</t>
  </si>
  <si>
    <t>Flujo neto</t>
  </si>
  <si>
    <t>VAN</t>
  </si>
  <si>
    <t>TIR</t>
  </si>
  <si>
    <t>Conclusión</t>
  </si>
  <si>
    <t>DASHBOARD EJECUTIVO – TIENDA TECNOLÓGICA</t>
  </si>
  <si>
    <t>KPIs</t>
  </si>
  <si>
    <t>Ventas Totales</t>
  </si>
  <si>
    <t>Margen Total</t>
  </si>
  <si>
    <t>Margen %</t>
  </si>
  <si>
    <t>Unidades</t>
  </si>
  <si>
    <t>Resumen por Categoría</t>
  </si>
  <si>
    <t>Resumen por Barrio</t>
  </si>
  <si>
    <t>CONFIGURACIÓN Y SOPORTE</t>
  </si>
  <si>
    <t>Tasa descuento</t>
  </si>
  <si>
    <t>Objetivo</t>
  </si>
  <si>
    <t>Soporte del flujo ETL, análisis financiero y Dashboard.</t>
  </si>
  <si>
    <t>Año</t>
  </si>
  <si>
    <t>Mes</t>
  </si>
  <si>
    <t>Año-Mes</t>
  </si>
  <si>
    <t>Suma de Ventas</t>
  </si>
  <si>
    <t>Suma de Margen</t>
  </si>
  <si>
    <t>Suma de Cantidad</t>
  </si>
  <si>
    <t>DASHBOARD FINAL | TIENDA TECNOLÓGICA</t>
  </si>
  <si>
    <t>Resumen ejecutivo interactivo · Ventas, rentabilidad y focos comerciales · Datos 2024–2025</t>
  </si>
  <si>
    <t>VENTAS TOTALES</t>
  </si>
  <si>
    <t>MARGEN TOTAL</t>
  </si>
  <si>
    <t>MARGEN %</t>
  </si>
  <si>
    <t>UNIDADES</t>
  </si>
  <si>
    <t>FILTRÁ LA HISTORIA</t>
  </si>
  <si>
    <t>LECTURA EJECUTIVA Y PRÓXIMA DECISIÓN</t>
  </si>
  <si>
    <t>CRECIMIENTO YoY GLOBAL</t>
  </si>
  <si>
    <t>1. Celulares aporta 49,5% de las ventas, pero su margen es 27,2%, el menor de las categorías: escala no equivale a mayor rentabilidad.</t>
  </si>
  <si>
    <t>2. Caballito lidera con $20,14 M, apenas 0,4% sobre Palermo: la diferencia territorial es demasiado pequeña para reasignar inversión sin más evidencia.</t>
  </si>
  <si>
    <t>INTERACTIVIDAD: los 3 filtros actualizan KPIs y ambos gráficos. Anexo metodológico incluido en la hoja oculta Analisis_IA.</t>
  </si>
  <si>
    <t>ANÁLISIS ASISTIDO POR IA – AUDITORÍA COGNITIVA</t>
  </si>
  <si>
    <t>Validar los insights del dashboard sin reemplazar el análisis humano.</t>
  </si>
  <si>
    <t>Contexto entregado a ChatGPT</t>
  </si>
  <si>
    <t>Retail tecnológico, 200 operaciones de 2024–2025; KPIs de ventas, margen, unidades y crecimiento; filtros por año, categoría y barrio.</t>
  </si>
  <si>
    <t>Conclusión humana 1</t>
  </si>
  <si>
    <t>Celulares lidera las ventas y parece ser la principal categoría del negocio.</t>
  </si>
  <si>
    <t>Prompt IA 1</t>
  </si>
  <si>
    <t>Celulares concentra aproximadamente la mitad de las ventas. Actuá como auditor cognitivo: identificá sesgos, explicaciones alternativas y métricas a revisar antes de recomendar más inversión.</t>
  </si>
  <si>
    <t>Validación IA 1</t>
  </si>
  <si>
    <t>El liderazgo por facturación no implica mejor rentabilidad. Se contrastó margen porcentual, unidades, ticket, mix, concentración y efecto de pedidos grandes.</t>
  </si>
  <si>
    <t>Conclusión humana 2</t>
  </si>
  <si>
    <t>Caballito encabeza la facturación territorial y podría justificar más inversión comercial.</t>
  </si>
  <si>
    <t>Prompt IA 2</t>
  </si>
  <si>
    <t>Caballito es el barrio con mayor facturación. Proponé hipótesis alternativas y pruebas para evitar confundir volumen con desempeño sostenible.</t>
  </si>
  <si>
    <t>Validación IA 2</t>
  </si>
  <si>
    <t>La ventaja sobre Palermo es de solo 0,4%. Corresponde comparar operaciones, ticket, margen porcentual, canal y mix antes de actuar.</t>
  </si>
  <si>
    <t>Prompt IA 3</t>
  </si>
  <si>
    <t>El gráfico temporal muestra operaciones atípicamente bajas o altas. ¿Qué controles de calidad e hipótesis de negocio conviene evaluar?</t>
  </si>
  <si>
    <t>Validación IA 3</t>
  </si>
  <si>
    <t>Verificar estacionalidad, cobertura incompleta, devoluciones, promociones, faltantes de stock y dependencia de operaciones puntuales antes de atribuir causalidad.</t>
  </si>
  <si>
    <t>Decisión de diseño</t>
  </si>
  <si>
    <t>Se incorporaron 3 filtros, KPIs dinámicos, dos gráficos de dispersión para anomalías y textos narrativos que muestran el alcance de la selección.</t>
  </si>
  <si>
    <t>Límite del análisis</t>
  </si>
  <si>
    <t>Los datos no incluyen presupuesto, logística, inventario ni campañas; las explicaciones son hipótesis y no causalidades demostradas.</t>
  </si>
  <si>
    <t>Acción recomendada: revisar por qué septiembre de 2024 y junio de 2025 tuvieron ventas tan bajas. Antes de tomar una decisión, comparar la ganancia, el valor promedio de cada venta y los productos vendidos.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</si>
</sst>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"/>
    <numFmt numFmtId="165" formatCode="dd/mm/yyyy"/>
    <numFmt numFmtId="166" formatCode="\$\ #,##0"/>
    <numFmt numFmtId="167" formatCode="0.0%"/>
    <numFmt numFmtId="168" formatCode="&quot;$&quot;\ #,##0.00"/>
    <numFmt numFmtId="169" formatCode="mmm\ yyyy"/>
    <numFmt numFmtId="171" formatCode="&quot;$&quot;\ 0.0,,&quot; M&quot;"/>
  </numFmts>
  <fonts count="1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6"/>
      <color rgb="FFFFFFFF"/>
      <name val="Calibri"/>
    </font>
    <font>
      <b/>
      <sz val="18"/>
      <color rgb="FFFFFFFF"/>
      <name val="Calibri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243447"/>
      <name val="Aptos"/>
    </font>
    <font>
      <b/>
      <sz val="11"/>
      <color rgb="FFFFFFFF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0"/>
      <color rgb="FF607080"/>
      <name val="Calibri"/>
      <family val="2"/>
      <scheme val="minor"/>
    </font>
    <font>
      <b/>
      <sz val="9"/>
      <color rgb="FF607080"/>
      <name val="Calibri"/>
      <family val="2"/>
      <scheme val="minor"/>
    </font>
    <font>
      <b/>
      <sz val="19"/>
      <color rgb="FF17324D"/>
      <name val="Calibri"/>
      <family val="2"/>
      <scheme val="minor"/>
    </font>
    <font>
      <b/>
      <sz val="11"/>
      <color rgb="FF17324D"/>
      <name val="Calibri"/>
      <family val="2"/>
      <scheme val="minor"/>
    </font>
    <font>
      <sz val="10"/>
      <color rgb="FF243447"/>
      <name val="Aptos"/>
    </font>
    <font>
      <b/>
      <sz val="16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F766E"/>
      <name val="Calibri"/>
      <family val="2"/>
      <scheme val="minor"/>
    </font>
    <font>
      <sz val="11"/>
      <color rgb="FF0C4A6E"/>
      <name val="Calibri"/>
      <family val="2"/>
      <scheme val="minor"/>
    </font>
    <font>
      <b/>
      <sz val="11"/>
      <color rgb="FF0C4A6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548235"/>
      </patternFill>
    </fill>
    <fill>
      <patternFill patternType="solid">
        <fgColor rgb="FFF3F6F8"/>
        <bgColor indexed="64"/>
      </patternFill>
    </fill>
    <fill>
      <patternFill patternType="solid">
        <fgColor rgb="FF17324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FF0"/>
        <bgColor indexed="64"/>
      </patternFill>
    </fill>
    <fill>
      <patternFill patternType="solid">
        <fgColor rgb="FFBAE6FD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rgb="FF14B8A6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3" borderId="0" xfId="0" applyFont="1" applyFill="1"/>
    <xf numFmtId="16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168" fontId="0" fillId="0" borderId="0" xfId="0" applyNumberFormat="1"/>
    <xf numFmtId="0" fontId="0" fillId="0" borderId="2" xfId="0" applyBorder="1"/>
    <xf numFmtId="0" fontId="0" fillId="0" borderId="3" xfId="0" applyBorder="1"/>
    <xf numFmtId="169" fontId="0" fillId="0" borderId="2" xfId="0" applyNumberFormat="1" applyBorder="1"/>
    <xf numFmtId="169" fontId="0" fillId="0" borderId="1" xfId="0" applyNumberFormat="1" applyBorder="1"/>
    <xf numFmtId="169" fontId="0" fillId="0" borderId="3" xfId="0" applyNumberFormat="1" applyBorder="1"/>
    <xf numFmtId="0" fontId="4" fillId="0" borderId="0" xfId="0" applyFont="1"/>
    <xf numFmtId="0" fontId="0" fillId="0" borderId="0" xfId="0" pivotButton="1"/>
    <xf numFmtId="169" fontId="0" fillId="0" borderId="0" xfId="0" applyNumberFormat="1"/>
    <xf numFmtId="0" fontId="6" fillId="4" borderId="0" xfId="0" applyFont="1" applyFill="1"/>
    <xf numFmtId="0" fontId="6" fillId="6" borderId="0" xfId="0" applyFont="1" applyFill="1"/>
    <xf numFmtId="0" fontId="12" fillId="0" borderId="0" xfId="0" applyFont="1"/>
    <xf numFmtId="0" fontId="13" fillId="6" borderId="0" xfId="0" applyFont="1" applyFill="1" applyAlignment="1">
      <alignment vertical="center" wrapText="1"/>
    </xf>
    <xf numFmtId="0" fontId="12" fillId="0" borderId="0" xfId="0" applyFont="1" applyAlignment="1">
      <alignment wrapText="1"/>
    </xf>
    <xf numFmtId="0" fontId="12" fillId="7" borderId="0" xfId="0" applyFont="1" applyFill="1" applyAlignment="1">
      <alignment vertical="top"/>
    </xf>
    <xf numFmtId="0" fontId="0" fillId="0" borderId="0" xfId="0" applyAlignment="1">
      <alignment vertical="top" wrapText="1"/>
    </xf>
    <xf numFmtId="0" fontId="8" fillId="5" borderId="0" xfId="0" applyFont="1" applyFill="1" applyAlignment="1">
      <alignment horizontal="left" vertical="center"/>
    </xf>
    <xf numFmtId="0" fontId="9" fillId="0" borderId="0" xfId="0" applyFont="1"/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3" fontId="11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2" fillId="7" borderId="0" xfId="0" applyFont="1" applyFill="1" applyAlignment="1">
      <alignment horizontal="center" vertical="center" wrapText="1"/>
    </xf>
    <xf numFmtId="0" fontId="12" fillId="0" borderId="0" xfId="0" applyFont="1"/>
    <xf numFmtId="0" fontId="12" fillId="0" borderId="0" xfId="0" applyFont="1" applyAlignment="1">
      <alignment wrapText="1"/>
    </xf>
    <xf numFmtId="0" fontId="7" fillId="5" borderId="0" xfId="0" applyFont="1" applyFill="1"/>
    <xf numFmtId="0" fontId="2" fillId="2" borderId="0" xfId="0" applyFont="1" applyFill="1"/>
    <xf numFmtId="0" fontId="0" fillId="0" borderId="0" xfId="0"/>
    <xf numFmtId="0" fontId="0" fillId="0" borderId="0" xfId="0" applyAlignment="1">
      <alignment wrapText="1"/>
    </xf>
    <xf numFmtId="0" fontId="3" fillId="2" borderId="0" xfId="0" applyFont="1" applyFill="1"/>
    <xf numFmtId="0" fontId="14" fillId="5" borderId="0" xfId="0" applyFont="1" applyFill="1"/>
    <xf numFmtId="0" fontId="17" fillId="8" borderId="0" xfId="0" applyFont="1" applyFill="1"/>
    <xf numFmtId="0" fontId="18" fillId="8" borderId="0" xfId="0" applyFont="1" applyFill="1"/>
    <xf numFmtId="171" fontId="11" fillId="0" borderId="0" xfId="0" applyNumberFormat="1" applyFont="1" applyAlignment="1">
      <alignment horizontal="center" vertical="center"/>
    </xf>
    <xf numFmtId="0" fontId="11" fillId="0" borderId="0" xfId="0" applyNumberFormat="1" applyFont="1" applyAlignment="1">
      <alignment horizontal="center" vertical="center"/>
    </xf>
    <xf numFmtId="0" fontId="11" fillId="0" borderId="4" xfId="0" applyNumberFormat="1" applyFont="1" applyBorder="1" applyAlignment="1">
      <alignment horizontal="center" vertical="center"/>
    </xf>
  </cellXfs>
  <cellStyles count="1">
    <cellStyle name="Normal" xfId="0" builtinId="0"/>
  </cellStyles>
  <dxfs count="21">
    <dxf>
      <numFmt numFmtId="169" formatCode="mmm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Ventas por Categoría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Dashboard_Ejecutivo!$B$11</c:f>
              <c:strCache>
                <c:ptCount val="1"/>
                <c:pt idx="0">
                  <c:v>Ventas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Dashboard_Ejecutivo!$A$12:$A$15</c:f>
              <c:strCache>
                <c:ptCount val="4"/>
                <c:pt idx="0">
                  <c:v>Accesorios</c:v>
                </c:pt>
                <c:pt idx="1">
                  <c:v>Celulares</c:v>
                </c:pt>
                <c:pt idx="2">
                  <c:v>Hogar conectado</c:v>
                </c:pt>
                <c:pt idx="3">
                  <c:v>Tablets</c:v>
                </c:pt>
              </c:strCache>
            </c:strRef>
          </c:cat>
          <c:val>
            <c:numRef>
              <c:f>Dashboard_Ejecutivo!$B$12:$B$15</c:f>
              <c:numCache>
                <c:formatCode>\$\ #,##0</c:formatCode>
                <c:ptCount val="4"/>
                <c:pt idx="0">
                  <c:v>4460000</c:v>
                </c:pt>
                <c:pt idx="1">
                  <c:v>65200000</c:v>
                </c:pt>
                <c:pt idx="2">
                  <c:v>17510000</c:v>
                </c:pt>
                <c:pt idx="3">
                  <c:v>44650000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0-426F-B78F-DC69CB92B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\$\ #,##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Cada punto compara la venta con la ganancia obtenida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rgbClr val="17324D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Operaciones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38BDF8"/>
              </a:solidFill>
              <a:ln w="9525">
                <a:solidFill>
                  <a:srgbClr val="0C4A6E"/>
                </a:solidFill>
                <a:prstDash val="solid"/>
              </a:ln>
              <a:effectLst/>
            </c:spPr>
          </c:marker>
          <c:xVal>
            <c:numRef>
              <c:f>Datos_Limpios_PQ!$M$2:$M$201</c:f>
              <c:numCache>
                <c:formatCode>\$\ #,##0</c:formatCode>
                <c:ptCount val="200"/>
                <c:pt idx="0">
                  <c:v>24000</c:v>
                </c:pt>
                <c:pt idx="1">
                  <c:v>660000</c:v>
                </c:pt>
                <c:pt idx="2">
                  <c:v>345000</c:v>
                </c:pt>
                <c:pt idx="3">
                  <c:v>555000</c:v>
                </c:pt>
                <c:pt idx="4">
                  <c:v>780000</c:v>
                </c:pt>
                <c:pt idx="5">
                  <c:v>1560000</c:v>
                </c:pt>
                <c:pt idx="6">
                  <c:v>45000</c:v>
                </c:pt>
                <c:pt idx="7">
                  <c:v>96000</c:v>
                </c:pt>
                <c:pt idx="8">
                  <c:v>1560000</c:v>
                </c:pt>
                <c:pt idx="9">
                  <c:v>620000</c:v>
                </c:pt>
                <c:pt idx="10">
                  <c:v>1560000</c:v>
                </c:pt>
                <c:pt idx="11">
                  <c:v>180000</c:v>
                </c:pt>
                <c:pt idx="12">
                  <c:v>440000</c:v>
                </c:pt>
                <c:pt idx="13">
                  <c:v>520000</c:v>
                </c:pt>
                <c:pt idx="14">
                  <c:v>555000</c:v>
                </c:pt>
                <c:pt idx="15">
                  <c:v>1170000</c:v>
                </c:pt>
                <c:pt idx="16">
                  <c:v>780000</c:v>
                </c:pt>
                <c:pt idx="17">
                  <c:v>780000</c:v>
                </c:pt>
                <c:pt idx="18">
                  <c:v>1560000</c:v>
                </c:pt>
                <c:pt idx="19">
                  <c:v>660000</c:v>
                </c:pt>
                <c:pt idx="20">
                  <c:v>45000</c:v>
                </c:pt>
                <c:pt idx="21">
                  <c:v>2080000</c:v>
                </c:pt>
                <c:pt idx="22">
                  <c:v>1560000</c:v>
                </c:pt>
                <c:pt idx="23">
                  <c:v>780000</c:v>
                </c:pt>
                <c:pt idx="24">
                  <c:v>2340000</c:v>
                </c:pt>
                <c:pt idx="25">
                  <c:v>220000</c:v>
                </c:pt>
                <c:pt idx="26">
                  <c:v>72000</c:v>
                </c:pt>
                <c:pt idx="27">
                  <c:v>220000</c:v>
                </c:pt>
                <c:pt idx="28">
                  <c:v>3120000</c:v>
                </c:pt>
                <c:pt idx="29">
                  <c:v>230000</c:v>
                </c:pt>
                <c:pt idx="30">
                  <c:v>180000</c:v>
                </c:pt>
                <c:pt idx="31">
                  <c:v>1560000</c:v>
                </c:pt>
                <c:pt idx="32">
                  <c:v>84000</c:v>
                </c:pt>
                <c:pt idx="33">
                  <c:v>112000</c:v>
                </c:pt>
                <c:pt idx="34">
                  <c:v>1040000</c:v>
                </c:pt>
                <c:pt idx="35">
                  <c:v>1560000</c:v>
                </c:pt>
                <c:pt idx="36">
                  <c:v>310000</c:v>
                </c:pt>
                <c:pt idx="37">
                  <c:v>220000</c:v>
                </c:pt>
                <c:pt idx="38">
                  <c:v>780000</c:v>
                </c:pt>
                <c:pt idx="39">
                  <c:v>3120000</c:v>
                </c:pt>
                <c:pt idx="40">
                  <c:v>520000</c:v>
                </c:pt>
                <c:pt idx="41">
                  <c:v>3120000</c:v>
                </c:pt>
                <c:pt idx="42">
                  <c:v>740000</c:v>
                </c:pt>
                <c:pt idx="43">
                  <c:v>115000</c:v>
                </c:pt>
                <c:pt idx="44">
                  <c:v>115000</c:v>
                </c:pt>
                <c:pt idx="45">
                  <c:v>2080000</c:v>
                </c:pt>
                <c:pt idx="46">
                  <c:v>28000</c:v>
                </c:pt>
                <c:pt idx="47">
                  <c:v>520000</c:v>
                </c:pt>
                <c:pt idx="48">
                  <c:v>185000</c:v>
                </c:pt>
                <c:pt idx="49">
                  <c:v>440000</c:v>
                </c:pt>
                <c:pt idx="50">
                  <c:v>930000</c:v>
                </c:pt>
                <c:pt idx="51">
                  <c:v>460000</c:v>
                </c:pt>
                <c:pt idx="52">
                  <c:v>555000</c:v>
                </c:pt>
                <c:pt idx="53">
                  <c:v>24000</c:v>
                </c:pt>
                <c:pt idx="54">
                  <c:v>930000</c:v>
                </c:pt>
                <c:pt idx="55">
                  <c:v>3120000</c:v>
                </c:pt>
                <c:pt idx="56">
                  <c:v>90000</c:v>
                </c:pt>
                <c:pt idx="57">
                  <c:v>620000</c:v>
                </c:pt>
                <c:pt idx="58">
                  <c:v>620000</c:v>
                </c:pt>
                <c:pt idx="59">
                  <c:v>96000</c:v>
                </c:pt>
                <c:pt idx="60">
                  <c:v>2080000</c:v>
                </c:pt>
                <c:pt idx="61">
                  <c:v>310000</c:v>
                </c:pt>
                <c:pt idx="62">
                  <c:v>24000</c:v>
                </c:pt>
                <c:pt idx="63">
                  <c:v>1560000</c:v>
                </c:pt>
                <c:pt idx="64">
                  <c:v>930000</c:v>
                </c:pt>
                <c:pt idx="65">
                  <c:v>84000</c:v>
                </c:pt>
                <c:pt idx="66">
                  <c:v>180000</c:v>
                </c:pt>
                <c:pt idx="67">
                  <c:v>3120000</c:v>
                </c:pt>
                <c:pt idx="68">
                  <c:v>620000</c:v>
                </c:pt>
                <c:pt idx="69">
                  <c:v>310000</c:v>
                </c:pt>
                <c:pt idx="70">
                  <c:v>390000</c:v>
                </c:pt>
                <c:pt idx="71">
                  <c:v>390000</c:v>
                </c:pt>
                <c:pt idx="72">
                  <c:v>1170000</c:v>
                </c:pt>
                <c:pt idx="73">
                  <c:v>1040000</c:v>
                </c:pt>
                <c:pt idx="74">
                  <c:v>230000</c:v>
                </c:pt>
                <c:pt idx="75">
                  <c:v>220000</c:v>
                </c:pt>
                <c:pt idx="76">
                  <c:v>620000</c:v>
                </c:pt>
                <c:pt idx="77">
                  <c:v>96000</c:v>
                </c:pt>
                <c:pt idx="78">
                  <c:v>780000</c:v>
                </c:pt>
                <c:pt idx="79">
                  <c:v>555000</c:v>
                </c:pt>
                <c:pt idx="80">
                  <c:v>555000</c:v>
                </c:pt>
                <c:pt idx="81">
                  <c:v>135000</c:v>
                </c:pt>
                <c:pt idx="82">
                  <c:v>3120000</c:v>
                </c:pt>
                <c:pt idx="83">
                  <c:v>28000</c:v>
                </c:pt>
                <c:pt idx="84">
                  <c:v>1170000</c:v>
                </c:pt>
                <c:pt idx="85">
                  <c:v>48000</c:v>
                </c:pt>
                <c:pt idx="86">
                  <c:v>460000</c:v>
                </c:pt>
                <c:pt idx="87">
                  <c:v>72000</c:v>
                </c:pt>
                <c:pt idx="88">
                  <c:v>740000</c:v>
                </c:pt>
                <c:pt idx="89">
                  <c:v>1170000</c:v>
                </c:pt>
                <c:pt idx="90">
                  <c:v>1560000</c:v>
                </c:pt>
                <c:pt idx="91">
                  <c:v>1040000</c:v>
                </c:pt>
                <c:pt idx="92">
                  <c:v>740000</c:v>
                </c:pt>
                <c:pt idx="93">
                  <c:v>2080000</c:v>
                </c:pt>
                <c:pt idx="94">
                  <c:v>880000</c:v>
                </c:pt>
                <c:pt idx="95">
                  <c:v>84000</c:v>
                </c:pt>
                <c:pt idx="96">
                  <c:v>90000</c:v>
                </c:pt>
                <c:pt idx="97">
                  <c:v>185000</c:v>
                </c:pt>
                <c:pt idx="98">
                  <c:v>2080000</c:v>
                </c:pt>
                <c:pt idx="99">
                  <c:v>2080000</c:v>
                </c:pt>
                <c:pt idx="100">
                  <c:v>56000</c:v>
                </c:pt>
                <c:pt idx="101">
                  <c:v>230000</c:v>
                </c:pt>
                <c:pt idx="102">
                  <c:v>72000</c:v>
                </c:pt>
                <c:pt idx="103">
                  <c:v>1170000</c:v>
                </c:pt>
                <c:pt idx="104">
                  <c:v>460000</c:v>
                </c:pt>
                <c:pt idx="105">
                  <c:v>780000</c:v>
                </c:pt>
                <c:pt idx="106">
                  <c:v>56000</c:v>
                </c:pt>
                <c:pt idx="107">
                  <c:v>555000</c:v>
                </c:pt>
                <c:pt idx="108">
                  <c:v>24000</c:v>
                </c:pt>
                <c:pt idx="109">
                  <c:v>390000</c:v>
                </c:pt>
                <c:pt idx="110">
                  <c:v>115000</c:v>
                </c:pt>
                <c:pt idx="111">
                  <c:v>84000</c:v>
                </c:pt>
                <c:pt idx="112">
                  <c:v>1560000</c:v>
                </c:pt>
                <c:pt idx="113">
                  <c:v>56000</c:v>
                </c:pt>
                <c:pt idx="114">
                  <c:v>220000</c:v>
                </c:pt>
                <c:pt idx="115">
                  <c:v>90000</c:v>
                </c:pt>
                <c:pt idx="116">
                  <c:v>390000</c:v>
                </c:pt>
                <c:pt idx="117">
                  <c:v>112000</c:v>
                </c:pt>
                <c:pt idx="118">
                  <c:v>185000</c:v>
                </c:pt>
                <c:pt idx="119">
                  <c:v>345000</c:v>
                </c:pt>
                <c:pt idx="120">
                  <c:v>520000</c:v>
                </c:pt>
                <c:pt idx="121">
                  <c:v>135000</c:v>
                </c:pt>
                <c:pt idx="122">
                  <c:v>440000</c:v>
                </c:pt>
                <c:pt idx="123">
                  <c:v>115000</c:v>
                </c:pt>
                <c:pt idx="124">
                  <c:v>230000</c:v>
                </c:pt>
                <c:pt idx="125">
                  <c:v>1170000</c:v>
                </c:pt>
                <c:pt idx="126">
                  <c:v>440000</c:v>
                </c:pt>
                <c:pt idx="127">
                  <c:v>90000</c:v>
                </c:pt>
                <c:pt idx="128">
                  <c:v>48000</c:v>
                </c:pt>
                <c:pt idx="129">
                  <c:v>185000</c:v>
                </c:pt>
                <c:pt idx="130">
                  <c:v>780000</c:v>
                </c:pt>
                <c:pt idx="131">
                  <c:v>780000</c:v>
                </c:pt>
                <c:pt idx="132">
                  <c:v>220000</c:v>
                </c:pt>
                <c:pt idx="133">
                  <c:v>1170000</c:v>
                </c:pt>
                <c:pt idx="134">
                  <c:v>96000</c:v>
                </c:pt>
                <c:pt idx="135">
                  <c:v>345000</c:v>
                </c:pt>
                <c:pt idx="136">
                  <c:v>48000</c:v>
                </c:pt>
                <c:pt idx="137">
                  <c:v>28000</c:v>
                </c:pt>
                <c:pt idx="138">
                  <c:v>1560000</c:v>
                </c:pt>
                <c:pt idx="139">
                  <c:v>180000</c:v>
                </c:pt>
                <c:pt idx="140">
                  <c:v>48000</c:v>
                </c:pt>
                <c:pt idx="141">
                  <c:v>460000</c:v>
                </c:pt>
                <c:pt idx="142">
                  <c:v>45000</c:v>
                </c:pt>
                <c:pt idx="143">
                  <c:v>460000</c:v>
                </c:pt>
                <c:pt idx="144">
                  <c:v>370000</c:v>
                </c:pt>
                <c:pt idx="145">
                  <c:v>660000</c:v>
                </c:pt>
                <c:pt idx="146">
                  <c:v>230000</c:v>
                </c:pt>
                <c:pt idx="147">
                  <c:v>24000</c:v>
                </c:pt>
                <c:pt idx="148">
                  <c:v>460000</c:v>
                </c:pt>
                <c:pt idx="149">
                  <c:v>28000</c:v>
                </c:pt>
                <c:pt idx="150">
                  <c:v>72000</c:v>
                </c:pt>
                <c:pt idx="151">
                  <c:v>84000</c:v>
                </c:pt>
                <c:pt idx="152">
                  <c:v>84000</c:v>
                </c:pt>
                <c:pt idx="153">
                  <c:v>220000</c:v>
                </c:pt>
                <c:pt idx="154">
                  <c:v>84000</c:v>
                </c:pt>
                <c:pt idx="155">
                  <c:v>1560000</c:v>
                </c:pt>
                <c:pt idx="156">
                  <c:v>2340000</c:v>
                </c:pt>
                <c:pt idx="157">
                  <c:v>96000</c:v>
                </c:pt>
                <c:pt idx="158">
                  <c:v>930000</c:v>
                </c:pt>
                <c:pt idx="159">
                  <c:v>1240000</c:v>
                </c:pt>
                <c:pt idx="160">
                  <c:v>115000</c:v>
                </c:pt>
                <c:pt idx="161">
                  <c:v>555000</c:v>
                </c:pt>
                <c:pt idx="162">
                  <c:v>115000</c:v>
                </c:pt>
                <c:pt idx="163">
                  <c:v>440000</c:v>
                </c:pt>
                <c:pt idx="164">
                  <c:v>2080000</c:v>
                </c:pt>
                <c:pt idx="165">
                  <c:v>930000</c:v>
                </c:pt>
                <c:pt idx="166">
                  <c:v>24000</c:v>
                </c:pt>
                <c:pt idx="167">
                  <c:v>1560000</c:v>
                </c:pt>
                <c:pt idx="168">
                  <c:v>180000</c:v>
                </c:pt>
                <c:pt idx="169">
                  <c:v>460000</c:v>
                </c:pt>
                <c:pt idx="170">
                  <c:v>930000</c:v>
                </c:pt>
                <c:pt idx="171">
                  <c:v>28000</c:v>
                </c:pt>
                <c:pt idx="172">
                  <c:v>90000</c:v>
                </c:pt>
                <c:pt idx="173">
                  <c:v>230000</c:v>
                </c:pt>
                <c:pt idx="174">
                  <c:v>520000</c:v>
                </c:pt>
                <c:pt idx="175">
                  <c:v>72000</c:v>
                </c:pt>
                <c:pt idx="176">
                  <c:v>1560000</c:v>
                </c:pt>
                <c:pt idx="177">
                  <c:v>28000</c:v>
                </c:pt>
                <c:pt idx="178">
                  <c:v>1560000</c:v>
                </c:pt>
                <c:pt idx="179">
                  <c:v>1170000</c:v>
                </c:pt>
                <c:pt idx="180">
                  <c:v>460000</c:v>
                </c:pt>
                <c:pt idx="181">
                  <c:v>56000</c:v>
                </c:pt>
                <c:pt idx="182">
                  <c:v>112000</c:v>
                </c:pt>
                <c:pt idx="183">
                  <c:v>115000</c:v>
                </c:pt>
                <c:pt idx="184">
                  <c:v>185000</c:v>
                </c:pt>
                <c:pt idx="185">
                  <c:v>24000</c:v>
                </c:pt>
                <c:pt idx="186">
                  <c:v>740000</c:v>
                </c:pt>
                <c:pt idx="187">
                  <c:v>72000</c:v>
                </c:pt>
                <c:pt idx="188">
                  <c:v>555000</c:v>
                </c:pt>
                <c:pt idx="189">
                  <c:v>2080000</c:v>
                </c:pt>
                <c:pt idx="190">
                  <c:v>220000</c:v>
                </c:pt>
                <c:pt idx="191">
                  <c:v>2340000</c:v>
                </c:pt>
                <c:pt idx="192">
                  <c:v>460000</c:v>
                </c:pt>
                <c:pt idx="193">
                  <c:v>555000</c:v>
                </c:pt>
                <c:pt idx="194">
                  <c:v>2080000</c:v>
                </c:pt>
                <c:pt idx="195">
                  <c:v>45000</c:v>
                </c:pt>
                <c:pt idx="196">
                  <c:v>345000</c:v>
                </c:pt>
                <c:pt idx="197">
                  <c:v>72000</c:v>
                </c:pt>
                <c:pt idx="198">
                  <c:v>660000</c:v>
                </c:pt>
                <c:pt idx="199">
                  <c:v>555000</c:v>
                </c:pt>
              </c:numCache>
            </c:numRef>
          </c:xVal>
          <c:yVal>
            <c:numRef>
              <c:f>Datos_Limpios_PQ!$O$2:$O$201</c:f>
              <c:numCache>
                <c:formatCode>\$\ #,##0</c:formatCode>
                <c:ptCount val="200"/>
                <c:pt idx="0">
                  <c:v>14500</c:v>
                </c:pt>
                <c:pt idx="1">
                  <c:v>225000</c:v>
                </c:pt>
                <c:pt idx="2">
                  <c:v>141000</c:v>
                </c:pt>
                <c:pt idx="3">
                  <c:v>231000</c:v>
                </c:pt>
                <c:pt idx="4">
                  <c:v>190000</c:v>
                </c:pt>
                <c:pt idx="5">
                  <c:v>380000</c:v>
                </c:pt>
                <c:pt idx="6">
                  <c:v>24000</c:v>
                </c:pt>
                <c:pt idx="7">
                  <c:v>58000</c:v>
                </c:pt>
                <c:pt idx="8">
                  <c:v>380000</c:v>
                </c:pt>
                <c:pt idx="9">
                  <c:v>200000</c:v>
                </c:pt>
                <c:pt idx="10">
                  <c:v>465000</c:v>
                </c:pt>
                <c:pt idx="11">
                  <c:v>96000</c:v>
                </c:pt>
                <c:pt idx="12">
                  <c:v>150000</c:v>
                </c:pt>
                <c:pt idx="13">
                  <c:v>155000</c:v>
                </c:pt>
                <c:pt idx="14">
                  <c:v>231000</c:v>
                </c:pt>
                <c:pt idx="15">
                  <c:v>360000</c:v>
                </c:pt>
                <c:pt idx="16">
                  <c:v>190000</c:v>
                </c:pt>
                <c:pt idx="17">
                  <c:v>190000</c:v>
                </c:pt>
                <c:pt idx="18">
                  <c:v>465000</c:v>
                </c:pt>
                <c:pt idx="19">
                  <c:v>225000</c:v>
                </c:pt>
                <c:pt idx="20">
                  <c:v>24000</c:v>
                </c:pt>
                <c:pt idx="21">
                  <c:v>620000</c:v>
                </c:pt>
                <c:pt idx="22">
                  <c:v>380000</c:v>
                </c:pt>
                <c:pt idx="23">
                  <c:v>240000</c:v>
                </c:pt>
                <c:pt idx="24">
                  <c:v>570000</c:v>
                </c:pt>
                <c:pt idx="25">
                  <c:v>75000</c:v>
                </c:pt>
                <c:pt idx="26">
                  <c:v>43500</c:v>
                </c:pt>
                <c:pt idx="27">
                  <c:v>75000</c:v>
                </c:pt>
                <c:pt idx="28">
                  <c:v>760000</c:v>
                </c:pt>
                <c:pt idx="29">
                  <c:v>94000</c:v>
                </c:pt>
                <c:pt idx="30">
                  <c:v>96000</c:v>
                </c:pt>
                <c:pt idx="31">
                  <c:v>480000</c:v>
                </c:pt>
                <c:pt idx="32">
                  <c:v>51000</c:v>
                </c:pt>
                <c:pt idx="33">
                  <c:v>68000</c:v>
                </c:pt>
                <c:pt idx="34">
                  <c:v>310000</c:v>
                </c:pt>
                <c:pt idx="35">
                  <c:v>465000</c:v>
                </c:pt>
                <c:pt idx="36">
                  <c:v>100000</c:v>
                </c:pt>
                <c:pt idx="37">
                  <c:v>75000</c:v>
                </c:pt>
                <c:pt idx="38">
                  <c:v>190000</c:v>
                </c:pt>
                <c:pt idx="39">
                  <c:v>760000</c:v>
                </c:pt>
                <c:pt idx="40">
                  <c:v>155000</c:v>
                </c:pt>
                <c:pt idx="41">
                  <c:v>760000</c:v>
                </c:pt>
                <c:pt idx="42">
                  <c:v>308000</c:v>
                </c:pt>
                <c:pt idx="43">
                  <c:v>47000</c:v>
                </c:pt>
                <c:pt idx="44">
                  <c:v>47000</c:v>
                </c:pt>
                <c:pt idx="45">
                  <c:v>620000</c:v>
                </c:pt>
                <c:pt idx="46">
                  <c:v>17000</c:v>
                </c:pt>
                <c:pt idx="47">
                  <c:v>155000</c:v>
                </c:pt>
                <c:pt idx="48">
                  <c:v>77000</c:v>
                </c:pt>
                <c:pt idx="49">
                  <c:v>150000</c:v>
                </c:pt>
                <c:pt idx="50">
                  <c:v>300000</c:v>
                </c:pt>
                <c:pt idx="51">
                  <c:v>188000</c:v>
                </c:pt>
                <c:pt idx="52">
                  <c:v>231000</c:v>
                </c:pt>
                <c:pt idx="53">
                  <c:v>14500</c:v>
                </c:pt>
                <c:pt idx="54">
                  <c:v>300000</c:v>
                </c:pt>
                <c:pt idx="55">
                  <c:v>760000</c:v>
                </c:pt>
                <c:pt idx="56">
                  <c:v>48000</c:v>
                </c:pt>
                <c:pt idx="57">
                  <c:v>200000</c:v>
                </c:pt>
                <c:pt idx="58">
                  <c:v>200000</c:v>
                </c:pt>
                <c:pt idx="59">
                  <c:v>58000</c:v>
                </c:pt>
                <c:pt idx="60">
                  <c:v>620000</c:v>
                </c:pt>
                <c:pt idx="61">
                  <c:v>100000</c:v>
                </c:pt>
                <c:pt idx="62">
                  <c:v>14500</c:v>
                </c:pt>
                <c:pt idx="63">
                  <c:v>380000</c:v>
                </c:pt>
                <c:pt idx="64">
                  <c:v>300000</c:v>
                </c:pt>
                <c:pt idx="65">
                  <c:v>51000</c:v>
                </c:pt>
                <c:pt idx="66">
                  <c:v>96000</c:v>
                </c:pt>
                <c:pt idx="67">
                  <c:v>760000</c:v>
                </c:pt>
                <c:pt idx="68">
                  <c:v>200000</c:v>
                </c:pt>
                <c:pt idx="69">
                  <c:v>100000</c:v>
                </c:pt>
                <c:pt idx="70">
                  <c:v>120000</c:v>
                </c:pt>
                <c:pt idx="71">
                  <c:v>120000</c:v>
                </c:pt>
                <c:pt idx="72">
                  <c:v>360000</c:v>
                </c:pt>
                <c:pt idx="73">
                  <c:v>310000</c:v>
                </c:pt>
                <c:pt idx="74">
                  <c:v>94000</c:v>
                </c:pt>
                <c:pt idx="75">
                  <c:v>75000</c:v>
                </c:pt>
                <c:pt idx="76">
                  <c:v>200000</c:v>
                </c:pt>
                <c:pt idx="77">
                  <c:v>58000</c:v>
                </c:pt>
                <c:pt idx="78">
                  <c:v>190000</c:v>
                </c:pt>
                <c:pt idx="79">
                  <c:v>231000</c:v>
                </c:pt>
                <c:pt idx="80">
                  <c:v>231000</c:v>
                </c:pt>
                <c:pt idx="81">
                  <c:v>72000</c:v>
                </c:pt>
                <c:pt idx="82">
                  <c:v>760000</c:v>
                </c:pt>
                <c:pt idx="83">
                  <c:v>17000</c:v>
                </c:pt>
                <c:pt idx="84">
                  <c:v>360000</c:v>
                </c:pt>
                <c:pt idx="85">
                  <c:v>29000</c:v>
                </c:pt>
                <c:pt idx="86">
                  <c:v>188000</c:v>
                </c:pt>
                <c:pt idx="87">
                  <c:v>43500</c:v>
                </c:pt>
                <c:pt idx="88">
                  <c:v>308000</c:v>
                </c:pt>
                <c:pt idx="89">
                  <c:v>360000</c:v>
                </c:pt>
                <c:pt idx="90">
                  <c:v>480000</c:v>
                </c:pt>
                <c:pt idx="91">
                  <c:v>310000</c:v>
                </c:pt>
                <c:pt idx="92">
                  <c:v>308000</c:v>
                </c:pt>
                <c:pt idx="93">
                  <c:v>620000</c:v>
                </c:pt>
                <c:pt idx="94">
                  <c:v>300000</c:v>
                </c:pt>
                <c:pt idx="95">
                  <c:v>51000</c:v>
                </c:pt>
                <c:pt idx="96">
                  <c:v>48000</c:v>
                </c:pt>
                <c:pt idx="97">
                  <c:v>77000</c:v>
                </c:pt>
                <c:pt idx="98">
                  <c:v>620000</c:v>
                </c:pt>
                <c:pt idx="99">
                  <c:v>620000</c:v>
                </c:pt>
                <c:pt idx="100">
                  <c:v>34000</c:v>
                </c:pt>
                <c:pt idx="101">
                  <c:v>94000</c:v>
                </c:pt>
                <c:pt idx="102">
                  <c:v>43500</c:v>
                </c:pt>
                <c:pt idx="103">
                  <c:v>360000</c:v>
                </c:pt>
                <c:pt idx="104">
                  <c:v>188000</c:v>
                </c:pt>
                <c:pt idx="105">
                  <c:v>240000</c:v>
                </c:pt>
                <c:pt idx="106">
                  <c:v>34000</c:v>
                </c:pt>
                <c:pt idx="107">
                  <c:v>231000</c:v>
                </c:pt>
                <c:pt idx="108">
                  <c:v>14500</c:v>
                </c:pt>
                <c:pt idx="109">
                  <c:v>120000</c:v>
                </c:pt>
                <c:pt idx="110">
                  <c:v>47000</c:v>
                </c:pt>
                <c:pt idx="111">
                  <c:v>51000</c:v>
                </c:pt>
                <c:pt idx="112">
                  <c:v>380000</c:v>
                </c:pt>
                <c:pt idx="113">
                  <c:v>34000</c:v>
                </c:pt>
                <c:pt idx="114">
                  <c:v>75000</c:v>
                </c:pt>
                <c:pt idx="115">
                  <c:v>48000</c:v>
                </c:pt>
                <c:pt idx="116">
                  <c:v>120000</c:v>
                </c:pt>
                <c:pt idx="117">
                  <c:v>68000</c:v>
                </c:pt>
                <c:pt idx="118">
                  <c:v>77000</c:v>
                </c:pt>
                <c:pt idx="119">
                  <c:v>141000</c:v>
                </c:pt>
                <c:pt idx="120">
                  <c:v>155000</c:v>
                </c:pt>
                <c:pt idx="121">
                  <c:v>72000</c:v>
                </c:pt>
                <c:pt idx="122">
                  <c:v>150000</c:v>
                </c:pt>
                <c:pt idx="123">
                  <c:v>47000</c:v>
                </c:pt>
                <c:pt idx="124">
                  <c:v>94000</c:v>
                </c:pt>
                <c:pt idx="125">
                  <c:v>360000</c:v>
                </c:pt>
                <c:pt idx="126">
                  <c:v>150000</c:v>
                </c:pt>
                <c:pt idx="127">
                  <c:v>48000</c:v>
                </c:pt>
                <c:pt idx="128">
                  <c:v>29000</c:v>
                </c:pt>
                <c:pt idx="129">
                  <c:v>77000</c:v>
                </c:pt>
                <c:pt idx="130">
                  <c:v>240000</c:v>
                </c:pt>
                <c:pt idx="131">
                  <c:v>240000</c:v>
                </c:pt>
                <c:pt idx="132">
                  <c:v>75000</c:v>
                </c:pt>
                <c:pt idx="133">
                  <c:v>360000</c:v>
                </c:pt>
                <c:pt idx="134">
                  <c:v>58000</c:v>
                </c:pt>
                <c:pt idx="135">
                  <c:v>141000</c:v>
                </c:pt>
                <c:pt idx="136">
                  <c:v>29000</c:v>
                </c:pt>
                <c:pt idx="137">
                  <c:v>17000</c:v>
                </c:pt>
                <c:pt idx="138">
                  <c:v>380000</c:v>
                </c:pt>
                <c:pt idx="139">
                  <c:v>96000</c:v>
                </c:pt>
                <c:pt idx="140">
                  <c:v>29000</c:v>
                </c:pt>
                <c:pt idx="141">
                  <c:v>188000</c:v>
                </c:pt>
                <c:pt idx="142">
                  <c:v>24000</c:v>
                </c:pt>
                <c:pt idx="143">
                  <c:v>188000</c:v>
                </c:pt>
                <c:pt idx="144">
                  <c:v>154000</c:v>
                </c:pt>
                <c:pt idx="145">
                  <c:v>225000</c:v>
                </c:pt>
                <c:pt idx="146">
                  <c:v>94000</c:v>
                </c:pt>
                <c:pt idx="147">
                  <c:v>14500</c:v>
                </c:pt>
                <c:pt idx="148">
                  <c:v>188000</c:v>
                </c:pt>
                <c:pt idx="149">
                  <c:v>17000</c:v>
                </c:pt>
                <c:pt idx="150">
                  <c:v>43500</c:v>
                </c:pt>
                <c:pt idx="151">
                  <c:v>51000</c:v>
                </c:pt>
                <c:pt idx="152">
                  <c:v>51000</c:v>
                </c:pt>
                <c:pt idx="153">
                  <c:v>75000</c:v>
                </c:pt>
                <c:pt idx="154">
                  <c:v>51000</c:v>
                </c:pt>
                <c:pt idx="155">
                  <c:v>465000</c:v>
                </c:pt>
                <c:pt idx="156">
                  <c:v>570000</c:v>
                </c:pt>
                <c:pt idx="157">
                  <c:v>58000</c:v>
                </c:pt>
                <c:pt idx="158">
                  <c:v>300000</c:v>
                </c:pt>
                <c:pt idx="159">
                  <c:v>400000</c:v>
                </c:pt>
                <c:pt idx="160">
                  <c:v>47000</c:v>
                </c:pt>
                <c:pt idx="161">
                  <c:v>231000</c:v>
                </c:pt>
                <c:pt idx="162">
                  <c:v>47000</c:v>
                </c:pt>
                <c:pt idx="163">
                  <c:v>150000</c:v>
                </c:pt>
                <c:pt idx="164">
                  <c:v>620000</c:v>
                </c:pt>
                <c:pt idx="165">
                  <c:v>300000</c:v>
                </c:pt>
                <c:pt idx="166">
                  <c:v>14500</c:v>
                </c:pt>
                <c:pt idx="167">
                  <c:v>465000</c:v>
                </c:pt>
                <c:pt idx="168">
                  <c:v>96000</c:v>
                </c:pt>
                <c:pt idx="169">
                  <c:v>188000</c:v>
                </c:pt>
                <c:pt idx="170">
                  <c:v>300000</c:v>
                </c:pt>
                <c:pt idx="171">
                  <c:v>17000</c:v>
                </c:pt>
                <c:pt idx="172">
                  <c:v>48000</c:v>
                </c:pt>
                <c:pt idx="173">
                  <c:v>94000</c:v>
                </c:pt>
                <c:pt idx="174">
                  <c:v>155000</c:v>
                </c:pt>
                <c:pt idx="175">
                  <c:v>43500</c:v>
                </c:pt>
                <c:pt idx="176">
                  <c:v>465000</c:v>
                </c:pt>
                <c:pt idx="177">
                  <c:v>17000</c:v>
                </c:pt>
                <c:pt idx="178">
                  <c:v>380000</c:v>
                </c:pt>
                <c:pt idx="179">
                  <c:v>360000</c:v>
                </c:pt>
                <c:pt idx="180">
                  <c:v>188000</c:v>
                </c:pt>
                <c:pt idx="181">
                  <c:v>34000</c:v>
                </c:pt>
                <c:pt idx="182">
                  <c:v>68000</c:v>
                </c:pt>
                <c:pt idx="183">
                  <c:v>47000</c:v>
                </c:pt>
                <c:pt idx="184">
                  <c:v>77000</c:v>
                </c:pt>
                <c:pt idx="185">
                  <c:v>14500</c:v>
                </c:pt>
                <c:pt idx="186">
                  <c:v>308000</c:v>
                </c:pt>
                <c:pt idx="187">
                  <c:v>43500</c:v>
                </c:pt>
                <c:pt idx="188">
                  <c:v>231000</c:v>
                </c:pt>
                <c:pt idx="189">
                  <c:v>620000</c:v>
                </c:pt>
                <c:pt idx="190">
                  <c:v>75000</c:v>
                </c:pt>
                <c:pt idx="191">
                  <c:v>570000</c:v>
                </c:pt>
                <c:pt idx="192">
                  <c:v>188000</c:v>
                </c:pt>
                <c:pt idx="193">
                  <c:v>231000</c:v>
                </c:pt>
                <c:pt idx="194">
                  <c:v>620000</c:v>
                </c:pt>
                <c:pt idx="195">
                  <c:v>24000</c:v>
                </c:pt>
                <c:pt idx="196">
                  <c:v>141000</c:v>
                </c:pt>
                <c:pt idx="197">
                  <c:v>43500</c:v>
                </c:pt>
                <c:pt idx="198">
                  <c:v>225000</c:v>
                </c:pt>
                <c:pt idx="199">
                  <c:v>231000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AA-47C3-A3B0-D6F201B67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542896"/>
        <c:axId val="1415434064"/>
      </c:scatterChart>
      <c:valAx>
        <c:axId val="142554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17324D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Importe de la venta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17324D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0.&quot; mil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434064"/>
        <c:crosses val="autoZero"/>
        <c:crossBetween val="midCat"/>
      </c:valAx>
      <c:valAx>
        <c:axId val="141543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17324D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Ganancia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17324D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0.&quot; mil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542896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7F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spc="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Cuándo se realizaron las ventas y cuál fue su importe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spc="0" baseline="0">
              <a:solidFill>
                <a:srgbClr val="17324D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Ventas por operación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7DD3FC"/>
              </a:solidFill>
              <a:ln w="9525">
                <a:solidFill>
                  <a:srgbClr val="075985"/>
                </a:solidFill>
                <a:prstDash val="solid"/>
              </a:ln>
              <a:effectLst/>
            </c:spPr>
          </c:marker>
          <c:xVal>
            <c:numRef>
              <c:f>Datos_Limpios_PQ!$B$2:$B$201</c:f>
              <c:numCache>
                <c:formatCode>dd/mm/yyyy</c:formatCode>
                <c:ptCount val="200"/>
                <c:pt idx="0">
                  <c:v>45511</c:v>
                </c:pt>
                <c:pt idx="1">
                  <c:v>45870</c:v>
                </c:pt>
                <c:pt idx="2">
                  <c:v>45477</c:v>
                </c:pt>
                <c:pt idx="3">
                  <c:v>45716</c:v>
                </c:pt>
                <c:pt idx="4">
                  <c:v>45705</c:v>
                </c:pt>
                <c:pt idx="5">
                  <c:v>45726</c:v>
                </c:pt>
                <c:pt idx="6">
                  <c:v>45798</c:v>
                </c:pt>
                <c:pt idx="7">
                  <c:v>45310</c:v>
                </c:pt>
                <c:pt idx="8">
                  <c:v>45419</c:v>
                </c:pt>
                <c:pt idx="9">
                  <c:v>45674</c:v>
                </c:pt>
                <c:pt idx="10">
                  <c:v>45798</c:v>
                </c:pt>
                <c:pt idx="11">
                  <c:v>45655</c:v>
                </c:pt>
                <c:pt idx="12">
                  <c:v>45877</c:v>
                </c:pt>
                <c:pt idx="13">
                  <c:v>45355</c:v>
                </c:pt>
                <c:pt idx="14">
                  <c:v>45372</c:v>
                </c:pt>
                <c:pt idx="15">
                  <c:v>45387</c:v>
                </c:pt>
                <c:pt idx="16">
                  <c:v>45626</c:v>
                </c:pt>
                <c:pt idx="17">
                  <c:v>45591</c:v>
                </c:pt>
                <c:pt idx="18">
                  <c:v>45572</c:v>
                </c:pt>
                <c:pt idx="19">
                  <c:v>45294</c:v>
                </c:pt>
                <c:pt idx="20">
                  <c:v>45533</c:v>
                </c:pt>
                <c:pt idx="21">
                  <c:v>45613</c:v>
                </c:pt>
                <c:pt idx="22">
                  <c:v>45345</c:v>
                </c:pt>
                <c:pt idx="23">
                  <c:v>45978</c:v>
                </c:pt>
                <c:pt idx="24">
                  <c:v>45401</c:v>
                </c:pt>
                <c:pt idx="25">
                  <c:v>45378</c:v>
                </c:pt>
                <c:pt idx="26">
                  <c:v>45984</c:v>
                </c:pt>
                <c:pt idx="27">
                  <c:v>45606</c:v>
                </c:pt>
                <c:pt idx="28">
                  <c:v>45359</c:v>
                </c:pt>
                <c:pt idx="29">
                  <c:v>45580</c:v>
                </c:pt>
                <c:pt idx="30">
                  <c:v>45433</c:v>
                </c:pt>
                <c:pt idx="31">
                  <c:v>45331</c:v>
                </c:pt>
                <c:pt idx="32">
                  <c:v>45728</c:v>
                </c:pt>
                <c:pt idx="33">
                  <c:v>45340</c:v>
                </c:pt>
                <c:pt idx="34">
                  <c:v>45962</c:v>
                </c:pt>
                <c:pt idx="35">
                  <c:v>45324</c:v>
                </c:pt>
                <c:pt idx="36">
                  <c:v>45866</c:v>
                </c:pt>
                <c:pt idx="37">
                  <c:v>45630</c:v>
                </c:pt>
                <c:pt idx="38">
                  <c:v>45788</c:v>
                </c:pt>
                <c:pt idx="39">
                  <c:v>45789</c:v>
                </c:pt>
                <c:pt idx="40">
                  <c:v>45676</c:v>
                </c:pt>
                <c:pt idx="41">
                  <c:v>45640</c:v>
                </c:pt>
                <c:pt idx="42">
                  <c:v>45839</c:v>
                </c:pt>
                <c:pt idx="43">
                  <c:v>45882</c:v>
                </c:pt>
                <c:pt idx="44">
                  <c:v>45426</c:v>
                </c:pt>
                <c:pt idx="45">
                  <c:v>45940</c:v>
                </c:pt>
                <c:pt idx="46">
                  <c:v>45429</c:v>
                </c:pt>
                <c:pt idx="47">
                  <c:v>45701</c:v>
                </c:pt>
                <c:pt idx="48">
                  <c:v>45330</c:v>
                </c:pt>
                <c:pt idx="49">
                  <c:v>45875</c:v>
                </c:pt>
                <c:pt idx="50">
                  <c:v>45335</c:v>
                </c:pt>
                <c:pt idx="51">
                  <c:v>45774</c:v>
                </c:pt>
                <c:pt idx="52">
                  <c:v>45744</c:v>
                </c:pt>
                <c:pt idx="53">
                  <c:v>45641</c:v>
                </c:pt>
                <c:pt idx="54">
                  <c:v>45915</c:v>
                </c:pt>
                <c:pt idx="55">
                  <c:v>45974</c:v>
                </c:pt>
                <c:pt idx="56">
                  <c:v>45924</c:v>
                </c:pt>
                <c:pt idx="57">
                  <c:v>45452</c:v>
                </c:pt>
                <c:pt idx="58">
                  <c:v>45966</c:v>
                </c:pt>
                <c:pt idx="59">
                  <c:v>45975</c:v>
                </c:pt>
                <c:pt idx="60">
                  <c:v>45948</c:v>
                </c:pt>
                <c:pt idx="61">
                  <c:v>45695</c:v>
                </c:pt>
                <c:pt idx="62">
                  <c:v>45967</c:v>
                </c:pt>
                <c:pt idx="63">
                  <c:v>45529</c:v>
                </c:pt>
                <c:pt idx="64">
                  <c:v>45361</c:v>
                </c:pt>
                <c:pt idx="65">
                  <c:v>45862</c:v>
                </c:pt>
                <c:pt idx="66">
                  <c:v>45470</c:v>
                </c:pt>
                <c:pt idx="67">
                  <c:v>45383</c:v>
                </c:pt>
                <c:pt idx="68">
                  <c:v>45453</c:v>
                </c:pt>
                <c:pt idx="69">
                  <c:v>45311</c:v>
                </c:pt>
                <c:pt idx="70">
                  <c:v>45352</c:v>
                </c:pt>
                <c:pt idx="71">
                  <c:v>45593</c:v>
                </c:pt>
                <c:pt idx="72">
                  <c:v>45670</c:v>
                </c:pt>
                <c:pt idx="73">
                  <c:v>45431</c:v>
                </c:pt>
                <c:pt idx="74">
                  <c:v>45707</c:v>
                </c:pt>
                <c:pt idx="75">
                  <c:v>45345</c:v>
                </c:pt>
                <c:pt idx="76">
                  <c:v>45858</c:v>
                </c:pt>
                <c:pt idx="77">
                  <c:v>45982</c:v>
                </c:pt>
                <c:pt idx="78">
                  <c:v>45374</c:v>
                </c:pt>
                <c:pt idx="79">
                  <c:v>45318</c:v>
                </c:pt>
                <c:pt idx="80">
                  <c:v>45392</c:v>
                </c:pt>
                <c:pt idx="81">
                  <c:v>45363</c:v>
                </c:pt>
                <c:pt idx="82">
                  <c:v>45306</c:v>
                </c:pt>
                <c:pt idx="83">
                  <c:v>45639</c:v>
                </c:pt>
                <c:pt idx="84">
                  <c:v>45629</c:v>
                </c:pt>
                <c:pt idx="85">
                  <c:v>45311</c:v>
                </c:pt>
                <c:pt idx="86">
                  <c:v>45613</c:v>
                </c:pt>
                <c:pt idx="87">
                  <c:v>45311</c:v>
                </c:pt>
                <c:pt idx="88">
                  <c:v>45620</c:v>
                </c:pt>
                <c:pt idx="89">
                  <c:v>45842</c:v>
                </c:pt>
                <c:pt idx="90">
                  <c:v>45853</c:v>
                </c:pt>
                <c:pt idx="91">
                  <c:v>45714</c:v>
                </c:pt>
                <c:pt idx="92">
                  <c:v>46017</c:v>
                </c:pt>
                <c:pt idx="93">
                  <c:v>45470</c:v>
                </c:pt>
                <c:pt idx="94">
                  <c:v>45897</c:v>
                </c:pt>
                <c:pt idx="95">
                  <c:v>45401</c:v>
                </c:pt>
                <c:pt idx="96">
                  <c:v>45577</c:v>
                </c:pt>
                <c:pt idx="97">
                  <c:v>45860</c:v>
                </c:pt>
                <c:pt idx="98">
                  <c:v>46012</c:v>
                </c:pt>
                <c:pt idx="99">
                  <c:v>45729</c:v>
                </c:pt>
                <c:pt idx="100">
                  <c:v>45517</c:v>
                </c:pt>
                <c:pt idx="101">
                  <c:v>45833</c:v>
                </c:pt>
                <c:pt idx="102">
                  <c:v>45318</c:v>
                </c:pt>
                <c:pt idx="103">
                  <c:v>45441</c:v>
                </c:pt>
                <c:pt idx="104">
                  <c:v>45486</c:v>
                </c:pt>
                <c:pt idx="105">
                  <c:v>45772</c:v>
                </c:pt>
                <c:pt idx="106">
                  <c:v>45883</c:v>
                </c:pt>
                <c:pt idx="107">
                  <c:v>45491</c:v>
                </c:pt>
                <c:pt idx="108">
                  <c:v>45369</c:v>
                </c:pt>
                <c:pt idx="109">
                  <c:v>45546</c:v>
                </c:pt>
                <c:pt idx="110">
                  <c:v>45762</c:v>
                </c:pt>
                <c:pt idx="111">
                  <c:v>45726</c:v>
                </c:pt>
                <c:pt idx="112">
                  <c:v>45334</c:v>
                </c:pt>
                <c:pt idx="113">
                  <c:v>45820</c:v>
                </c:pt>
                <c:pt idx="114">
                  <c:v>45894</c:v>
                </c:pt>
                <c:pt idx="115">
                  <c:v>45653</c:v>
                </c:pt>
                <c:pt idx="116">
                  <c:v>45741</c:v>
                </c:pt>
                <c:pt idx="117">
                  <c:v>45410</c:v>
                </c:pt>
                <c:pt idx="118">
                  <c:v>45488</c:v>
                </c:pt>
                <c:pt idx="119">
                  <c:v>45792</c:v>
                </c:pt>
                <c:pt idx="120">
                  <c:v>45958</c:v>
                </c:pt>
                <c:pt idx="121">
                  <c:v>45457</c:v>
                </c:pt>
                <c:pt idx="122">
                  <c:v>45929</c:v>
                </c:pt>
                <c:pt idx="123">
                  <c:v>45446</c:v>
                </c:pt>
                <c:pt idx="124">
                  <c:v>45727</c:v>
                </c:pt>
                <c:pt idx="125">
                  <c:v>45903</c:v>
                </c:pt>
                <c:pt idx="126">
                  <c:v>45388</c:v>
                </c:pt>
                <c:pt idx="127">
                  <c:v>45697</c:v>
                </c:pt>
                <c:pt idx="128">
                  <c:v>45718</c:v>
                </c:pt>
                <c:pt idx="129">
                  <c:v>45487</c:v>
                </c:pt>
                <c:pt idx="130">
                  <c:v>45501</c:v>
                </c:pt>
                <c:pt idx="131">
                  <c:v>45614</c:v>
                </c:pt>
                <c:pt idx="132">
                  <c:v>45594</c:v>
                </c:pt>
                <c:pt idx="133">
                  <c:v>45965</c:v>
                </c:pt>
                <c:pt idx="134">
                  <c:v>45974</c:v>
                </c:pt>
                <c:pt idx="135">
                  <c:v>45963</c:v>
                </c:pt>
                <c:pt idx="136">
                  <c:v>46013</c:v>
                </c:pt>
                <c:pt idx="137">
                  <c:v>45783</c:v>
                </c:pt>
                <c:pt idx="138">
                  <c:v>46013</c:v>
                </c:pt>
                <c:pt idx="139">
                  <c:v>45402</c:v>
                </c:pt>
                <c:pt idx="140">
                  <c:v>45783</c:v>
                </c:pt>
                <c:pt idx="141">
                  <c:v>45460</c:v>
                </c:pt>
                <c:pt idx="142">
                  <c:v>45959</c:v>
                </c:pt>
                <c:pt idx="143">
                  <c:v>45719</c:v>
                </c:pt>
                <c:pt idx="144">
                  <c:v>45485</c:v>
                </c:pt>
                <c:pt idx="145">
                  <c:v>45493</c:v>
                </c:pt>
                <c:pt idx="146">
                  <c:v>45900</c:v>
                </c:pt>
                <c:pt idx="147">
                  <c:v>45434</c:v>
                </c:pt>
                <c:pt idx="148">
                  <c:v>45403</c:v>
                </c:pt>
                <c:pt idx="149">
                  <c:v>45342</c:v>
                </c:pt>
                <c:pt idx="150">
                  <c:v>45502</c:v>
                </c:pt>
                <c:pt idx="151">
                  <c:v>45905</c:v>
                </c:pt>
                <c:pt idx="152">
                  <c:v>45513</c:v>
                </c:pt>
                <c:pt idx="153">
                  <c:v>45449</c:v>
                </c:pt>
                <c:pt idx="154">
                  <c:v>45613</c:v>
                </c:pt>
                <c:pt idx="155">
                  <c:v>45660</c:v>
                </c:pt>
                <c:pt idx="156">
                  <c:v>45632</c:v>
                </c:pt>
                <c:pt idx="157">
                  <c:v>45947</c:v>
                </c:pt>
                <c:pt idx="158">
                  <c:v>45969</c:v>
                </c:pt>
                <c:pt idx="159">
                  <c:v>45369</c:v>
                </c:pt>
                <c:pt idx="160">
                  <c:v>45999</c:v>
                </c:pt>
                <c:pt idx="161">
                  <c:v>45450</c:v>
                </c:pt>
                <c:pt idx="162">
                  <c:v>45978</c:v>
                </c:pt>
                <c:pt idx="163">
                  <c:v>45772</c:v>
                </c:pt>
                <c:pt idx="164">
                  <c:v>45709</c:v>
                </c:pt>
                <c:pt idx="165">
                  <c:v>45887</c:v>
                </c:pt>
                <c:pt idx="166">
                  <c:v>45510</c:v>
                </c:pt>
                <c:pt idx="167">
                  <c:v>45972</c:v>
                </c:pt>
                <c:pt idx="168">
                  <c:v>45720</c:v>
                </c:pt>
                <c:pt idx="169">
                  <c:v>45436</c:v>
                </c:pt>
                <c:pt idx="170">
                  <c:v>45529</c:v>
                </c:pt>
                <c:pt idx="171">
                  <c:v>45391</c:v>
                </c:pt>
                <c:pt idx="172">
                  <c:v>45504</c:v>
                </c:pt>
                <c:pt idx="173">
                  <c:v>45320</c:v>
                </c:pt>
                <c:pt idx="174">
                  <c:v>45727</c:v>
                </c:pt>
                <c:pt idx="175">
                  <c:v>45964</c:v>
                </c:pt>
                <c:pt idx="176">
                  <c:v>45517</c:v>
                </c:pt>
                <c:pt idx="177">
                  <c:v>45352</c:v>
                </c:pt>
                <c:pt idx="178">
                  <c:v>45367</c:v>
                </c:pt>
                <c:pt idx="179">
                  <c:v>45729</c:v>
                </c:pt>
                <c:pt idx="180">
                  <c:v>45700</c:v>
                </c:pt>
                <c:pt idx="181">
                  <c:v>45763</c:v>
                </c:pt>
                <c:pt idx="182">
                  <c:v>45306</c:v>
                </c:pt>
                <c:pt idx="183">
                  <c:v>45417</c:v>
                </c:pt>
                <c:pt idx="184">
                  <c:v>45666</c:v>
                </c:pt>
                <c:pt idx="185">
                  <c:v>45929</c:v>
                </c:pt>
                <c:pt idx="186">
                  <c:v>45528</c:v>
                </c:pt>
                <c:pt idx="187">
                  <c:v>45831</c:v>
                </c:pt>
                <c:pt idx="188">
                  <c:v>45721</c:v>
                </c:pt>
                <c:pt idx="189">
                  <c:v>46013</c:v>
                </c:pt>
                <c:pt idx="190">
                  <c:v>45616</c:v>
                </c:pt>
                <c:pt idx="191">
                  <c:v>45862</c:v>
                </c:pt>
                <c:pt idx="192">
                  <c:v>45979</c:v>
                </c:pt>
                <c:pt idx="193">
                  <c:v>45358</c:v>
                </c:pt>
                <c:pt idx="194">
                  <c:v>45932</c:v>
                </c:pt>
                <c:pt idx="195">
                  <c:v>45896</c:v>
                </c:pt>
                <c:pt idx="196">
                  <c:v>45721</c:v>
                </c:pt>
                <c:pt idx="197">
                  <c:v>45894</c:v>
                </c:pt>
                <c:pt idx="198">
                  <c:v>45308</c:v>
                </c:pt>
                <c:pt idx="199">
                  <c:v>45696</c:v>
                </c:pt>
              </c:numCache>
            </c:numRef>
          </c:xVal>
          <c:yVal>
            <c:numRef>
              <c:f>Datos_Limpios_PQ!$M$2:$M$201</c:f>
              <c:numCache>
                <c:formatCode>\$\ #,##0</c:formatCode>
                <c:ptCount val="200"/>
                <c:pt idx="0">
                  <c:v>24000</c:v>
                </c:pt>
                <c:pt idx="1">
                  <c:v>660000</c:v>
                </c:pt>
                <c:pt idx="2">
                  <c:v>345000</c:v>
                </c:pt>
                <c:pt idx="3">
                  <c:v>555000</c:v>
                </c:pt>
                <c:pt idx="4">
                  <c:v>780000</c:v>
                </c:pt>
                <c:pt idx="5">
                  <c:v>1560000</c:v>
                </c:pt>
                <c:pt idx="6">
                  <c:v>45000</c:v>
                </c:pt>
                <c:pt idx="7">
                  <c:v>96000</c:v>
                </c:pt>
                <c:pt idx="8">
                  <c:v>1560000</c:v>
                </c:pt>
                <c:pt idx="9">
                  <c:v>620000</c:v>
                </c:pt>
                <c:pt idx="10">
                  <c:v>1560000</c:v>
                </c:pt>
                <c:pt idx="11">
                  <c:v>180000</c:v>
                </c:pt>
                <c:pt idx="12">
                  <c:v>440000</c:v>
                </c:pt>
                <c:pt idx="13">
                  <c:v>520000</c:v>
                </c:pt>
                <c:pt idx="14">
                  <c:v>555000</c:v>
                </c:pt>
                <c:pt idx="15">
                  <c:v>1170000</c:v>
                </c:pt>
                <c:pt idx="16">
                  <c:v>780000</c:v>
                </c:pt>
                <c:pt idx="17">
                  <c:v>780000</c:v>
                </c:pt>
                <c:pt idx="18">
                  <c:v>1560000</c:v>
                </c:pt>
                <c:pt idx="19">
                  <c:v>660000</c:v>
                </c:pt>
                <c:pt idx="20">
                  <c:v>45000</c:v>
                </c:pt>
                <c:pt idx="21">
                  <c:v>2080000</c:v>
                </c:pt>
                <c:pt idx="22">
                  <c:v>1560000</c:v>
                </c:pt>
                <c:pt idx="23">
                  <c:v>780000</c:v>
                </c:pt>
                <c:pt idx="24">
                  <c:v>2340000</c:v>
                </c:pt>
                <c:pt idx="25">
                  <c:v>220000</c:v>
                </c:pt>
                <c:pt idx="26">
                  <c:v>72000</c:v>
                </c:pt>
                <c:pt idx="27">
                  <c:v>220000</c:v>
                </c:pt>
                <c:pt idx="28">
                  <c:v>3120000</c:v>
                </c:pt>
                <c:pt idx="29">
                  <c:v>230000</c:v>
                </c:pt>
                <c:pt idx="30">
                  <c:v>180000</c:v>
                </c:pt>
                <c:pt idx="31">
                  <c:v>1560000</c:v>
                </c:pt>
                <c:pt idx="32">
                  <c:v>84000</c:v>
                </c:pt>
                <c:pt idx="33">
                  <c:v>112000</c:v>
                </c:pt>
                <c:pt idx="34">
                  <c:v>1040000</c:v>
                </c:pt>
                <c:pt idx="35">
                  <c:v>1560000</c:v>
                </c:pt>
                <c:pt idx="36">
                  <c:v>310000</c:v>
                </c:pt>
                <c:pt idx="37">
                  <c:v>220000</c:v>
                </c:pt>
                <c:pt idx="38">
                  <c:v>780000</c:v>
                </c:pt>
                <c:pt idx="39">
                  <c:v>3120000</c:v>
                </c:pt>
                <c:pt idx="40">
                  <c:v>520000</c:v>
                </c:pt>
                <c:pt idx="41">
                  <c:v>3120000</c:v>
                </c:pt>
                <c:pt idx="42">
                  <c:v>740000</c:v>
                </c:pt>
                <c:pt idx="43">
                  <c:v>115000</c:v>
                </c:pt>
                <c:pt idx="44">
                  <c:v>115000</c:v>
                </c:pt>
                <c:pt idx="45">
                  <c:v>2080000</c:v>
                </c:pt>
                <c:pt idx="46">
                  <c:v>28000</c:v>
                </c:pt>
                <c:pt idx="47">
                  <c:v>520000</c:v>
                </c:pt>
                <c:pt idx="48">
                  <c:v>185000</c:v>
                </c:pt>
                <c:pt idx="49">
                  <c:v>440000</c:v>
                </c:pt>
                <c:pt idx="50">
                  <c:v>930000</c:v>
                </c:pt>
                <c:pt idx="51">
                  <c:v>460000</c:v>
                </c:pt>
                <c:pt idx="52">
                  <c:v>555000</c:v>
                </c:pt>
                <c:pt idx="53">
                  <c:v>24000</c:v>
                </c:pt>
                <c:pt idx="54">
                  <c:v>930000</c:v>
                </c:pt>
                <c:pt idx="55">
                  <c:v>3120000</c:v>
                </c:pt>
                <c:pt idx="56">
                  <c:v>90000</c:v>
                </c:pt>
                <c:pt idx="57">
                  <c:v>620000</c:v>
                </c:pt>
                <c:pt idx="58">
                  <c:v>620000</c:v>
                </c:pt>
                <c:pt idx="59">
                  <c:v>96000</c:v>
                </c:pt>
                <c:pt idx="60">
                  <c:v>2080000</c:v>
                </c:pt>
                <c:pt idx="61">
                  <c:v>310000</c:v>
                </c:pt>
                <c:pt idx="62">
                  <c:v>24000</c:v>
                </c:pt>
                <c:pt idx="63">
                  <c:v>1560000</c:v>
                </c:pt>
                <c:pt idx="64">
                  <c:v>930000</c:v>
                </c:pt>
                <c:pt idx="65">
                  <c:v>84000</c:v>
                </c:pt>
                <c:pt idx="66">
                  <c:v>180000</c:v>
                </c:pt>
                <c:pt idx="67">
                  <c:v>3120000</c:v>
                </c:pt>
                <c:pt idx="68">
                  <c:v>620000</c:v>
                </c:pt>
                <c:pt idx="69">
                  <c:v>310000</c:v>
                </c:pt>
                <c:pt idx="70">
                  <c:v>390000</c:v>
                </c:pt>
                <c:pt idx="71">
                  <c:v>390000</c:v>
                </c:pt>
                <c:pt idx="72">
                  <c:v>1170000</c:v>
                </c:pt>
                <c:pt idx="73">
                  <c:v>1040000</c:v>
                </c:pt>
                <c:pt idx="74">
                  <c:v>230000</c:v>
                </c:pt>
                <c:pt idx="75">
                  <c:v>220000</c:v>
                </c:pt>
                <c:pt idx="76">
                  <c:v>620000</c:v>
                </c:pt>
                <c:pt idx="77">
                  <c:v>96000</c:v>
                </c:pt>
                <c:pt idx="78">
                  <c:v>780000</c:v>
                </c:pt>
                <c:pt idx="79">
                  <c:v>555000</c:v>
                </c:pt>
                <c:pt idx="80">
                  <c:v>555000</c:v>
                </c:pt>
                <c:pt idx="81">
                  <c:v>135000</c:v>
                </c:pt>
                <c:pt idx="82">
                  <c:v>3120000</c:v>
                </c:pt>
                <c:pt idx="83">
                  <c:v>28000</c:v>
                </c:pt>
                <c:pt idx="84">
                  <c:v>1170000</c:v>
                </c:pt>
                <c:pt idx="85">
                  <c:v>48000</c:v>
                </c:pt>
                <c:pt idx="86">
                  <c:v>460000</c:v>
                </c:pt>
                <c:pt idx="87">
                  <c:v>72000</c:v>
                </c:pt>
                <c:pt idx="88">
                  <c:v>740000</c:v>
                </c:pt>
                <c:pt idx="89">
                  <c:v>1170000</c:v>
                </c:pt>
                <c:pt idx="90">
                  <c:v>1560000</c:v>
                </c:pt>
                <c:pt idx="91">
                  <c:v>1040000</c:v>
                </c:pt>
                <c:pt idx="92">
                  <c:v>740000</c:v>
                </c:pt>
                <c:pt idx="93">
                  <c:v>2080000</c:v>
                </c:pt>
                <c:pt idx="94">
                  <c:v>880000</c:v>
                </c:pt>
                <c:pt idx="95">
                  <c:v>84000</c:v>
                </c:pt>
                <c:pt idx="96">
                  <c:v>90000</c:v>
                </c:pt>
                <c:pt idx="97">
                  <c:v>185000</c:v>
                </c:pt>
                <c:pt idx="98">
                  <c:v>2080000</c:v>
                </c:pt>
                <c:pt idx="99">
                  <c:v>2080000</c:v>
                </c:pt>
                <c:pt idx="100">
                  <c:v>56000</c:v>
                </c:pt>
                <c:pt idx="101">
                  <c:v>230000</c:v>
                </c:pt>
                <c:pt idx="102">
                  <c:v>72000</c:v>
                </c:pt>
                <c:pt idx="103">
                  <c:v>1170000</c:v>
                </c:pt>
                <c:pt idx="104">
                  <c:v>460000</c:v>
                </c:pt>
                <c:pt idx="105">
                  <c:v>780000</c:v>
                </c:pt>
                <c:pt idx="106">
                  <c:v>56000</c:v>
                </c:pt>
                <c:pt idx="107">
                  <c:v>555000</c:v>
                </c:pt>
                <c:pt idx="108">
                  <c:v>24000</c:v>
                </c:pt>
                <c:pt idx="109">
                  <c:v>390000</c:v>
                </c:pt>
                <c:pt idx="110">
                  <c:v>115000</c:v>
                </c:pt>
                <c:pt idx="111">
                  <c:v>84000</c:v>
                </c:pt>
                <c:pt idx="112">
                  <c:v>1560000</c:v>
                </c:pt>
                <c:pt idx="113">
                  <c:v>56000</c:v>
                </c:pt>
                <c:pt idx="114">
                  <c:v>220000</c:v>
                </c:pt>
                <c:pt idx="115">
                  <c:v>90000</c:v>
                </c:pt>
                <c:pt idx="116">
                  <c:v>390000</c:v>
                </c:pt>
                <c:pt idx="117">
                  <c:v>112000</c:v>
                </c:pt>
                <c:pt idx="118">
                  <c:v>185000</c:v>
                </c:pt>
                <c:pt idx="119">
                  <c:v>345000</c:v>
                </c:pt>
                <c:pt idx="120">
                  <c:v>520000</c:v>
                </c:pt>
                <c:pt idx="121">
                  <c:v>135000</c:v>
                </c:pt>
                <c:pt idx="122">
                  <c:v>440000</c:v>
                </c:pt>
                <c:pt idx="123">
                  <c:v>115000</c:v>
                </c:pt>
                <c:pt idx="124">
                  <c:v>230000</c:v>
                </c:pt>
                <c:pt idx="125">
                  <c:v>1170000</c:v>
                </c:pt>
                <c:pt idx="126">
                  <c:v>440000</c:v>
                </c:pt>
                <c:pt idx="127">
                  <c:v>90000</c:v>
                </c:pt>
                <c:pt idx="128">
                  <c:v>48000</c:v>
                </c:pt>
                <c:pt idx="129">
                  <c:v>185000</c:v>
                </c:pt>
                <c:pt idx="130">
                  <c:v>780000</c:v>
                </c:pt>
                <c:pt idx="131">
                  <c:v>780000</c:v>
                </c:pt>
                <c:pt idx="132">
                  <c:v>220000</c:v>
                </c:pt>
                <c:pt idx="133">
                  <c:v>1170000</c:v>
                </c:pt>
                <c:pt idx="134">
                  <c:v>96000</c:v>
                </c:pt>
                <c:pt idx="135">
                  <c:v>345000</c:v>
                </c:pt>
                <c:pt idx="136">
                  <c:v>48000</c:v>
                </c:pt>
                <c:pt idx="137">
                  <c:v>28000</c:v>
                </c:pt>
                <c:pt idx="138">
                  <c:v>1560000</c:v>
                </c:pt>
                <c:pt idx="139">
                  <c:v>180000</c:v>
                </c:pt>
                <c:pt idx="140">
                  <c:v>48000</c:v>
                </c:pt>
                <c:pt idx="141">
                  <c:v>460000</c:v>
                </c:pt>
                <c:pt idx="142">
                  <c:v>45000</c:v>
                </c:pt>
                <c:pt idx="143">
                  <c:v>460000</c:v>
                </c:pt>
                <c:pt idx="144">
                  <c:v>370000</c:v>
                </c:pt>
                <c:pt idx="145">
                  <c:v>660000</c:v>
                </c:pt>
                <c:pt idx="146">
                  <c:v>230000</c:v>
                </c:pt>
                <c:pt idx="147">
                  <c:v>24000</c:v>
                </c:pt>
                <c:pt idx="148">
                  <c:v>460000</c:v>
                </c:pt>
                <c:pt idx="149">
                  <c:v>28000</c:v>
                </c:pt>
                <c:pt idx="150">
                  <c:v>72000</c:v>
                </c:pt>
                <c:pt idx="151">
                  <c:v>84000</c:v>
                </c:pt>
                <c:pt idx="152">
                  <c:v>84000</c:v>
                </c:pt>
                <c:pt idx="153">
                  <c:v>220000</c:v>
                </c:pt>
                <c:pt idx="154">
                  <c:v>84000</c:v>
                </c:pt>
                <c:pt idx="155">
                  <c:v>1560000</c:v>
                </c:pt>
                <c:pt idx="156">
                  <c:v>2340000</c:v>
                </c:pt>
                <c:pt idx="157">
                  <c:v>96000</c:v>
                </c:pt>
                <c:pt idx="158">
                  <c:v>930000</c:v>
                </c:pt>
                <c:pt idx="159">
                  <c:v>1240000</c:v>
                </c:pt>
                <c:pt idx="160">
                  <c:v>115000</c:v>
                </c:pt>
                <c:pt idx="161">
                  <c:v>555000</c:v>
                </c:pt>
                <c:pt idx="162">
                  <c:v>115000</c:v>
                </c:pt>
                <c:pt idx="163">
                  <c:v>440000</c:v>
                </c:pt>
                <c:pt idx="164">
                  <c:v>2080000</c:v>
                </c:pt>
                <c:pt idx="165">
                  <c:v>930000</c:v>
                </c:pt>
                <c:pt idx="166">
                  <c:v>24000</c:v>
                </c:pt>
                <c:pt idx="167">
                  <c:v>1560000</c:v>
                </c:pt>
                <c:pt idx="168">
                  <c:v>180000</c:v>
                </c:pt>
                <c:pt idx="169">
                  <c:v>460000</c:v>
                </c:pt>
                <c:pt idx="170">
                  <c:v>930000</c:v>
                </c:pt>
                <c:pt idx="171">
                  <c:v>28000</c:v>
                </c:pt>
                <c:pt idx="172">
                  <c:v>90000</c:v>
                </c:pt>
                <c:pt idx="173">
                  <c:v>230000</c:v>
                </c:pt>
                <c:pt idx="174">
                  <c:v>520000</c:v>
                </c:pt>
                <c:pt idx="175">
                  <c:v>72000</c:v>
                </c:pt>
                <c:pt idx="176">
                  <c:v>1560000</c:v>
                </c:pt>
                <c:pt idx="177">
                  <c:v>28000</c:v>
                </c:pt>
                <c:pt idx="178">
                  <c:v>1560000</c:v>
                </c:pt>
                <c:pt idx="179">
                  <c:v>1170000</c:v>
                </c:pt>
                <c:pt idx="180">
                  <c:v>460000</c:v>
                </c:pt>
                <c:pt idx="181">
                  <c:v>56000</c:v>
                </c:pt>
                <c:pt idx="182">
                  <c:v>112000</c:v>
                </c:pt>
                <c:pt idx="183">
                  <c:v>115000</c:v>
                </c:pt>
                <c:pt idx="184">
                  <c:v>185000</c:v>
                </c:pt>
                <c:pt idx="185">
                  <c:v>24000</c:v>
                </c:pt>
                <c:pt idx="186">
                  <c:v>740000</c:v>
                </c:pt>
                <c:pt idx="187">
                  <c:v>72000</c:v>
                </c:pt>
                <c:pt idx="188">
                  <c:v>555000</c:v>
                </c:pt>
                <c:pt idx="189">
                  <c:v>2080000</c:v>
                </c:pt>
                <c:pt idx="190">
                  <c:v>220000</c:v>
                </c:pt>
                <c:pt idx="191">
                  <c:v>2340000</c:v>
                </c:pt>
                <c:pt idx="192">
                  <c:v>460000</c:v>
                </c:pt>
                <c:pt idx="193">
                  <c:v>555000</c:v>
                </c:pt>
                <c:pt idx="194">
                  <c:v>2080000</c:v>
                </c:pt>
                <c:pt idx="195">
                  <c:v>45000</c:v>
                </c:pt>
                <c:pt idx="196">
                  <c:v>345000</c:v>
                </c:pt>
                <c:pt idx="197">
                  <c:v>72000</c:v>
                </c:pt>
                <c:pt idx="198">
                  <c:v>660000</c:v>
                </c:pt>
                <c:pt idx="199">
                  <c:v>555000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53-4BBF-AAE1-5CAADDE11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416688"/>
        <c:axId val="1415364944"/>
      </c:scatterChart>
      <c:valAx>
        <c:axId val="142541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17324D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Fecha de venta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17324D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mm\ 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5364944"/>
        <c:crosses val="autoZero"/>
        <c:crossBetween val="midCat"/>
      </c:valAx>
      <c:valAx>
        <c:axId val="141536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rgbClr val="17324D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Importe de la venta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rgbClr val="17324D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0.&quot; mil&quot;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7324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416688"/>
        <c:crosses val="autoZero"/>
        <c:crossBetween val="midCat"/>
      </c:valAx>
      <c:spPr>
        <a:solidFill>
          <a:srgbClr val="FFFFFF"/>
        </a:solidFill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EAF7FB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259080</xdr:colOff>
      <xdr:row>20</xdr:row>
      <xdr:rowOff>30480</xdr:rowOff>
    </xdr:from>
    <xdr:ext cx="4320000" cy="252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twoCellAnchor>
    <xdr:from>
      <xdr:col>0</xdr:col>
      <xdr:colOff>0</xdr:colOff>
      <xdr:row>34</xdr:row>
      <xdr:rowOff>188595</xdr:rowOff>
    </xdr:from>
    <xdr:to>
      <xdr:col>2</xdr:col>
      <xdr:colOff>790575</xdr:colOff>
      <xdr:row>37</xdr:row>
      <xdr:rowOff>99695</xdr:rowOff>
    </xdr:to>
    <xdr:sp macro="[0]!Módulo1.LimpiarFiltros" textlink="">
      <xdr:nvSpPr>
        <xdr:cNvPr id="3" name="btn_LimpiarFiltros">
          <a:extLst>
            <a:ext uri="{FF2B5EF4-FFF2-40B4-BE49-F238E27FC236}">
              <a16:creationId xmlns:a16="http://schemas.microsoft.com/office/drawing/2014/main" id="{9378B773-A8B1-4B26-895C-B94CBFB8CCFB}"/>
            </a:ext>
          </a:extLst>
        </xdr:cNvPr>
        <xdr:cNvSpPr/>
      </xdr:nvSpPr>
      <xdr:spPr>
        <a:xfrm>
          <a:off x="0" y="6772275"/>
          <a:ext cx="2268855" cy="482600"/>
        </a:xfrm>
        <a:prstGeom prst="rect">
          <a:avLst/>
        </a:prstGeom>
        <a:solidFill>
          <a:srgbClr val="2F75B5"/>
        </a:solidFill>
        <a:ln w="12700" cap="flat" cmpd="sng" algn="ctr">
          <a:solidFill>
            <a:srgbClr val="2F75B5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LIMPIAR FILTROS</a:t>
          </a:r>
        </a:p>
      </xdr:txBody>
    </xdr:sp>
    <xdr:clientData/>
  </xdr:twoCellAnchor>
  <xdr:twoCellAnchor>
    <xdr:from>
      <xdr:col>3</xdr:col>
      <xdr:colOff>0</xdr:colOff>
      <xdr:row>34</xdr:row>
      <xdr:rowOff>188595</xdr:rowOff>
    </xdr:from>
    <xdr:to>
      <xdr:col>5</xdr:col>
      <xdr:colOff>788670</xdr:colOff>
      <xdr:row>37</xdr:row>
      <xdr:rowOff>99695</xdr:rowOff>
    </xdr:to>
    <xdr:sp macro="[0]!Módulo1.ModoPresentacion" textlink="">
      <xdr:nvSpPr>
        <xdr:cNvPr id="4" name="btn_ModoPresentacion">
          <a:extLst>
            <a:ext uri="{FF2B5EF4-FFF2-40B4-BE49-F238E27FC236}">
              <a16:creationId xmlns:a16="http://schemas.microsoft.com/office/drawing/2014/main" id="{7CE8CFDE-B3C5-4CC7-ABAB-5B6A13CF6226}"/>
            </a:ext>
          </a:extLst>
        </xdr:cNvPr>
        <xdr:cNvSpPr/>
      </xdr:nvSpPr>
      <xdr:spPr>
        <a:xfrm>
          <a:off x="2270760" y="6772275"/>
          <a:ext cx="2640330" cy="482600"/>
        </a:xfrm>
        <a:prstGeom prst="rect">
          <a:avLst/>
        </a:prstGeom>
        <a:solidFill>
          <a:srgbClr val="44546A"/>
        </a:solidFill>
        <a:ln w="12700" cap="flat" cmpd="sng" algn="ctr">
          <a:solidFill>
            <a:srgbClr val="44546A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MODO PRESENTACIÓN</a:t>
          </a:r>
        </a:p>
      </xdr:txBody>
    </xdr:sp>
    <xdr:clientData/>
  </xdr:twoCellAnchor>
  <xdr:twoCellAnchor>
    <xdr:from>
      <xdr:col>5</xdr:col>
      <xdr:colOff>790575</xdr:colOff>
      <xdr:row>34</xdr:row>
      <xdr:rowOff>188595</xdr:rowOff>
    </xdr:from>
    <xdr:to>
      <xdr:col>8</xdr:col>
      <xdr:colOff>605790</xdr:colOff>
      <xdr:row>37</xdr:row>
      <xdr:rowOff>99695</xdr:rowOff>
    </xdr:to>
    <xdr:sp macro="[0]!Módulo1.ExportarDashboardPDF" textlink="">
      <xdr:nvSpPr>
        <xdr:cNvPr id="5" name="btn_ExportarDashboardPDF">
          <a:extLst>
            <a:ext uri="{FF2B5EF4-FFF2-40B4-BE49-F238E27FC236}">
              <a16:creationId xmlns:a16="http://schemas.microsoft.com/office/drawing/2014/main" id="{65E4CCFC-EC78-4DBA-A420-1103ECD8B459}"/>
            </a:ext>
          </a:extLst>
        </xdr:cNvPr>
        <xdr:cNvSpPr/>
      </xdr:nvSpPr>
      <xdr:spPr>
        <a:xfrm>
          <a:off x="4912995" y="6772275"/>
          <a:ext cx="1941195" cy="482600"/>
        </a:xfrm>
        <a:prstGeom prst="rect">
          <a:avLst/>
        </a:prstGeom>
        <a:solidFill>
          <a:srgbClr val="00A6A6"/>
        </a:solidFill>
        <a:ln w="12700" cap="flat" cmpd="sng" algn="ctr">
          <a:solidFill>
            <a:srgbClr val="00A6A6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0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EXPORTAR DASHBOARD PDF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8</xdr:col>
      <xdr:colOff>0</xdr:colOff>
      <xdr:row>38</xdr:row>
      <xdr:rowOff>0</xdr:rowOff>
    </xdr:to>
    <xdr:graphicFrame macro="">
      <xdr:nvGraphicFramePr>
        <xdr:cNvPr id="8" name="Ventas vs Margen">
          <a:extLst>
            <a:ext uri="{FF2B5EF4-FFF2-40B4-BE49-F238E27FC236}">
              <a16:creationId xmlns:a16="http://schemas.microsoft.com/office/drawing/2014/main" id="{A8A07065-5890-C055-126E-6DF2D47325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8</xdr:col>
      <xdr:colOff>0</xdr:colOff>
      <xdr:row>57</xdr:row>
      <xdr:rowOff>0</xdr:rowOff>
    </xdr:to>
    <xdr:graphicFrame macro="">
      <xdr:nvGraphicFramePr>
        <xdr:cNvPr id="9" name="Ventas en el Tiempo">
          <a:extLst>
            <a:ext uri="{FF2B5EF4-FFF2-40B4-BE49-F238E27FC236}">
              <a16:creationId xmlns:a16="http://schemas.microsoft.com/office/drawing/2014/main" id="{E002CB4A-AAC8-882D-18AA-4A9E79340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10</xdr:row>
      <xdr:rowOff>114299</xdr:rowOff>
    </xdr:from>
    <xdr:to>
      <xdr:col>5</xdr:col>
      <xdr:colOff>0</xdr:colOff>
      <xdr:row>14</xdr:row>
      <xdr:rowOff>85725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Filtro Año">
              <a:extLst>
                <a:ext uri="{FF2B5EF4-FFF2-40B4-BE49-F238E27FC236}">
                  <a16:creationId xmlns:a16="http://schemas.microsoft.com/office/drawing/2014/main" id="{503CA765-786C-536B-4848-2E50C811915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 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86049"/>
              <a:ext cx="3476625" cy="8477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0</xdr:colOff>
      <xdr:row>10</xdr:row>
      <xdr:rowOff>104775</xdr:rowOff>
    </xdr:from>
    <xdr:to>
      <xdr:col>10</xdr:col>
      <xdr:colOff>0</xdr:colOff>
      <xdr:row>16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Filtro Categoría">
              <a:extLst>
                <a:ext uri="{FF2B5EF4-FFF2-40B4-BE49-F238E27FC236}">
                  <a16:creationId xmlns:a16="http://schemas.microsoft.com/office/drawing/2014/main" id="{A12C5170-DD05-7735-844A-E84C237328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 Categorí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76625" y="2676525"/>
              <a:ext cx="3476625" cy="1409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685800</xdr:colOff>
      <xdr:row>10</xdr:row>
      <xdr:rowOff>114298</xdr:rowOff>
    </xdr:from>
    <xdr:to>
      <xdr:col>15</xdr:col>
      <xdr:colOff>685800</xdr:colOff>
      <xdr:row>19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Filtro Barrio">
              <a:extLst>
                <a:ext uri="{FF2B5EF4-FFF2-40B4-BE49-F238E27FC236}">
                  <a16:creationId xmlns:a16="http://schemas.microsoft.com/office/drawing/2014/main" id="{72A18BA3-865F-C06A-B977-EE42271BFC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iltro Bar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43725" y="2686048"/>
              <a:ext cx="4171950" cy="244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nzo Adaro" refreshedDate="46294.853012268519" createdVersion="8" refreshedVersion="8" minRefreshableVersion="3" recordCount="200" xr:uid="{BDD0DA0F-05E0-4C8E-885C-CDE8669891CC}">
  <cacheSource type="worksheet">
    <worksheetSource name="tblDatosLimpios"/>
  </cacheSource>
  <cacheFields count="21">
    <cacheField name="ID_Venta" numFmtId="0">
      <sharedItems containsSemiMixedTypes="0" containsString="0" containsNumber="1" containsInteger="1" minValue="1" maxValue="200"/>
    </cacheField>
    <cacheField name="Fecha" numFmtId="165">
      <sharedItems containsSemiMixedTypes="0" containsNonDate="0" containsDate="1" containsString="0" minDate="2024-01-03T00:00:00" maxDate="2025-12-27T00:00:00"/>
    </cacheField>
    <cacheField name="Cliente_Tipo" numFmtId="0">
      <sharedItems/>
    </cacheField>
    <cacheField name="Producto" numFmtId="0">
      <sharedItems/>
    </cacheField>
    <cacheField name="Categoría" numFmtId="0">
      <sharedItems count="4">
        <s v="Accesorios"/>
        <s v="Celulares"/>
        <s v="Hogar conectado"/>
        <s v="Tablets"/>
      </sharedItems>
    </cacheField>
    <cacheField name="Canal" numFmtId="0">
      <sharedItems/>
    </cacheField>
    <cacheField name="Barrio" numFmtId="0">
      <sharedItems count="8">
        <s v="Caballito"/>
        <s v="Almagro"/>
        <s v="Belgrano"/>
        <s v="Colegiales"/>
        <s v="Flores"/>
        <s v="Palermo"/>
        <s v="San Telmo"/>
        <s v="Boedo"/>
      </sharedItems>
    </cacheField>
    <cacheField name="Comuna" numFmtId="0">
      <sharedItems/>
    </cacheField>
    <cacheField name="CP" numFmtId="0">
      <sharedItems/>
    </cacheField>
    <cacheField name="Cantidad" numFmtId="0">
      <sharedItems containsSemiMixedTypes="0" containsString="0" containsNumber="1" containsInteger="1" minValue="1" maxValue="4"/>
    </cacheField>
    <cacheField name="Precio_Unitario" numFmtId="166">
      <sharedItems containsSemiMixedTypes="0" containsString="0" containsNumber="1" containsInteger="1" minValue="24000" maxValue="780000"/>
    </cacheField>
    <cacheField name="Costo_Unitario" numFmtId="166">
      <sharedItems containsSemiMixedTypes="0" containsString="0" containsNumber="1" containsInteger="1" minValue="9500" maxValue="590000"/>
    </cacheField>
    <cacheField name="Ventas" numFmtId="166">
      <sharedItems containsSemiMixedTypes="0" containsString="0" containsNumber="1" containsInteger="1" minValue="24000" maxValue="3120000"/>
    </cacheField>
    <cacheField name="Costo_Total" numFmtId="166">
      <sharedItems containsSemiMixedTypes="0" containsString="0" containsNumber="1" containsInteger="1" minValue="9500" maxValue="2360000"/>
    </cacheField>
    <cacheField name="Margen" numFmtId="166">
      <sharedItems containsSemiMixedTypes="0" containsString="0" containsNumber="1" containsInteger="1" minValue="14500" maxValue="760000"/>
    </cacheField>
    <cacheField name="Margen_%" numFmtId="167">
      <sharedItems containsSemiMixedTypes="0" containsString="0" containsNumber="1" minValue="0.24358974358974361" maxValue="0.6071428571428571"/>
    </cacheField>
    <cacheField name="Medio_Pago" numFmtId="0">
      <sharedItems/>
    </cacheField>
    <cacheField name="Estado" numFmtId="0">
      <sharedItems/>
    </cacheField>
    <cacheField name="Año" numFmtId="0">
      <sharedItems containsSemiMixedTypes="0" containsString="0" containsNumber="1" containsInteger="1" minValue="2024" maxValue="2025"/>
    </cacheField>
    <cacheField name="Mes" numFmtId="0">
      <sharedItems/>
    </cacheField>
    <cacheField name="Año-Mes" numFmtId="169">
      <sharedItems containsSemiMixedTypes="0" containsNonDate="0" containsDate="1" containsString="0" minDate="2024-01-01T00:00:00" maxDate="2025-12-02T00:00:00" count="24">
        <d v="2024-08-01T00:00:00"/>
        <d v="2025-08-01T00:00:00"/>
        <d v="2024-07-01T00:00:00"/>
        <d v="2025-02-01T00:00:00"/>
        <d v="2025-03-01T00:00:00"/>
        <d v="2025-05-01T00:00:00"/>
        <d v="2024-01-01T00:00:00"/>
        <d v="2024-05-01T00:00:00"/>
        <d v="2025-01-01T00:00:00"/>
        <d v="2024-12-01T00:00:00"/>
        <d v="2024-03-01T00:00:00"/>
        <d v="2024-04-01T00:00:00"/>
        <d v="2024-11-01T00:00:00"/>
        <d v="2024-10-01T00:00:00"/>
        <d v="2024-02-01T00:00:00"/>
        <d v="2025-11-01T00:00:00"/>
        <d v="2025-07-01T00:00:00"/>
        <d v="2025-10-01T00:00:00"/>
        <d v="2025-04-01T00:00:00"/>
        <d v="2025-09-01T00:00:00"/>
        <d v="2024-06-01T00:00:00"/>
        <d v="2025-12-01T00:00:00"/>
        <d v="2025-06-01T00:00:00"/>
        <d v="2024-09-01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n v="1"/>
    <d v="2024-08-07T00:00:00"/>
    <s v="Empresa"/>
    <s v="Cargador USB-C"/>
    <x v="0"/>
    <s v="Tienda online"/>
    <x v="0"/>
    <s v="6"/>
    <s v="1405"/>
    <n v="1"/>
    <n v="24000"/>
    <n v="9500"/>
    <n v="24000"/>
    <n v="9500"/>
    <n v="14500"/>
    <n v="0.60416666666666663"/>
    <s v="Efectivo"/>
    <s v="Completada"/>
    <n v="2024"/>
    <s v="ago"/>
    <x v="0"/>
  </r>
  <r>
    <n v="2"/>
    <d v="2025-08-01T00:00:00"/>
    <s v="Particular"/>
    <s v="Celular A15"/>
    <x v="1"/>
    <s v="Tienda online"/>
    <x v="1"/>
    <s v="5"/>
    <s v="1180"/>
    <n v="3"/>
    <n v="220000"/>
    <n v="145000"/>
    <n v="660000"/>
    <n v="435000"/>
    <n v="225000"/>
    <n v="0.34090909090909088"/>
    <s v="Transferencia"/>
    <s v="Completada"/>
    <n v="2025"/>
    <s v="ago"/>
    <x v="1"/>
  </r>
  <r>
    <n v="3"/>
    <d v="2024-07-04T00:00:00"/>
    <s v="Empresa"/>
    <s v="Cámara WiFi"/>
    <x v="2"/>
    <s v="Tienda online"/>
    <x v="2"/>
    <s v="13"/>
    <s v="1428"/>
    <n v="3"/>
    <n v="115000"/>
    <n v="68000"/>
    <n v="345000"/>
    <n v="204000"/>
    <n v="141000"/>
    <n v="0.40869565217391313"/>
    <s v="Tarjeta"/>
    <s v="Completada"/>
    <n v="2024"/>
    <s v="jul"/>
    <x v="2"/>
  </r>
  <r>
    <n v="4"/>
    <d v="2025-02-28T00:00:00"/>
    <s v="Particular"/>
    <s v="Cámara Exterior"/>
    <x v="2"/>
    <s v="Tienda online"/>
    <x v="2"/>
    <s v="13"/>
    <s v="1428"/>
    <n v="3"/>
    <n v="185000"/>
    <n v="108000"/>
    <n v="555000"/>
    <n v="324000"/>
    <n v="231000"/>
    <n v="0.41621621621621618"/>
    <s v="Mercado Pago"/>
    <s v="Completada"/>
    <n v="2025"/>
    <s v="feb"/>
    <x v="3"/>
  </r>
  <r>
    <n v="5"/>
    <d v="2025-02-17T00:00:00"/>
    <s v="Particular"/>
    <s v="Celular S24"/>
    <x v="1"/>
    <s v="Tienda online"/>
    <x v="3"/>
    <s v="13"/>
    <s v="1426"/>
    <n v="1"/>
    <n v="780000"/>
    <n v="590000"/>
    <n v="780000"/>
    <n v="590000"/>
    <n v="190000"/>
    <n v="0.24358974358974361"/>
    <s v="Transferencia"/>
    <s v="Completada"/>
    <n v="2025"/>
    <s v="feb"/>
    <x v="3"/>
  </r>
  <r>
    <n v="6"/>
    <d v="2025-03-10T00:00:00"/>
    <s v="Empresa"/>
    <s v="Celular S24"/>
    <x v="1"/>
    <s v="Sucursal"/>
    <x v="4"/>
    <s v="7"/>
    <s v="1406"/>
    <n v="2"/>
    <n v="780000"/>
    <n v="590000"/>
    <n v="1560000"/>
    <n v="1180000"/>
    <n v="380000"/>
    <n v="0.24358974358974361"/>
    <s v="Mercado Pago"/>
    <s v="Completada"/>
    <n v="2025"/>
    <s v="mar"/>
    <x v="4"/>
  </r>
  <r>
    <n v="7"/>
    <d v="2025-05-21T00:00:00"/>
    <s v="Particular"/>
    <s v="Auriculares BT"/>
    <x v="0"/>
    <s v="Tienda online"/>
    <x v="0"/>
    <s v="6"/>
    <s v="1405"/>
    <n v="1"/>
    <n v="45000"/>
    <n v="21000"/>
    <n v="45000"/>
    <n v="21000"/>
    <n v="24000"/>
    <n v="0.53333333333333333"/>
    <s v="Mercado Pago"/>
    <s v="Completada"/>
    <n v="2025"/>
    <s v="may"/>
    <x v="5"/>
  </r>
  <r>
    <n v="8"/>
    <d v="2024-01-19T00:00:00"/>
    <s v="Particular"/>
    <s v="Cargador USB-C"/>
    <x v="0"/>
    <s v="Sucursal"/>
    <x v="4"/>
    <s v="7"/>
    <s v="1406"/>
    <n v="4"/>
    <n v="24000"/>
    <n v="9500"/>
    <n v="96000"/>
    <n v="38000"/>
    <n v="58000"/>
    <n v="0.60416666666666663"/>
    <s v="Efectivo"/>
    <s v="Completada"/>
    <n v="2024"/>
    <s v="ene"/>
    <x v="6"/>
  </r>
  <r>
    <n v="9"/>
    <d v="2024-05-07T00:00:00"/>
    <s v="Particular"/>
    <s v="Celular S24"/>
    <x v="1"/>
    <s v="Tienda online"/>
    <x v="3"/>
    <s v="13"/>
    <s v="1426"/>
    <n v="2"/>
    <n v="780000"/>
    <n v="590000"/>
    <n v="1560000"/>
    <n v="1180000"/>
    <n v="380000"/>
    <n v="0.24358974358974361"/>
    <s v="Transferencia"/>
    <s v="Completada"/>
    <n v="2024"/>
    <s v="may"/>
    <x v="7"/>
  </r>
  <r>
    <n v="10"/>
    <d v="2025-01-17T00:00:00"/>
    <s v="Particular"/>
    <s v="Tablet 10"/>
    <x v="3"/>
    <s v="Sucursal"/>
    <x v="5"/>
    <s v="14"/>
    <s v="1425"/>
    <n v="2"/>
    <n v="310000"/>
    <n v="210000"/>
    <n v="620000"/>
    <n v="420000"/>
    <n v="200000"/>
    <n v="0.32258064516129031"/>
    <s v="Efectivo"/>
    <s v="Completada"/>
    <n v="2025"/>
    <s v="ene"/>
    <x v="8"/>
  </r>
  <r>
    <n v="11"/>
    <d v="2025-05-21T00:00:00"/>
    <s v="Empresa"/>
    <s v="Tablet Pro"/>
    <x v="3"/>
    <s v="Sucursal"/>
    <x v="4"/>
    <s v="7"/>
    <s v="1406"/>
    <n v="3"/>
    <n v="520000"/>
    <n v="365000"/>
    <n v="1560000"/>
    <n v="1095000"/>
    <n v="465000"/>
    <n v="0.29807692307692307"/>
    <s v="Mercado Pago"/>
    <s v="Completada"/>
    <n v="2025"/>
    <s v="may"/>
    <x v="5"/>
  </r>
  <r>
    <n v="12"/>
    <d v="2024-12-29T00:00:00"/>
    <s v="Empresa"/>
    <s v="Auriculares BT"/>
    <x v="0"/>
    <s v="Sucursal"/>
    <x v="3"/>
    <s v="13"/>
    <s v="1426"/>
    <n v="4"/>
    <n v="45000"/>
    <n v="21000"/>
    <n v="180000"/>
    <n v="84000"/>
    <n v="96000"/>
    <n v="0.53333333333333333"/>
    <s v="Efectivo"/>
    <s v="Completada"/>
    <n v="2024"/>
    <s v="dic"/>
    <x v="9"/>
  </r>
  <r>
    <n v="13"/>
    <d v="2025-08-08T00:00:00"/>
    <s v="Particular"/>
    <s v="Celular A15"/>
    <x v="1"/>
    <s v="Sucursal"/>
    <x v="6"/>
    <s v="1"/>
    <s v="1066"/>
    <n v="2"/>
    <n v="220000"/>
    <n v="145000"/>
    <n v="440000"/>
    <n v="290000"/>
    <n v="150000"/>
    <n v="0.34090909090909088"/>
    <s v="Tarjeta"/>
    <s v="Completada"/>
    <n v="2025"/>
    <s v="ago"/>
    <x v="1"/>
  </r>
  <r>
    <n v="14"/>
    <d v="2024-03-04T00:00:00"/>
    <s v="Particular"/>
    <s v="Tablet Pro"/>
    <x v="3"/>
    <s v="Sucursal"/>
    <x v="7"/>
    <s v="5"/>
    <s v="1239"/>
    <n v="1"/>
    <n v="520000"/>
    <n v="365000"/>
    <n v="520000"/>
    <n v="365000"/>
    <n v="155000"/>
    <n v="0.29807692307692307"/>
    <s v="Transferencia"/>
    <s v="Completada"/>
    <n v="2024"/>
    <s v="mar"/>
    <x v="10"/>
  </r>
  <r>
    <n v="15"/>
    <d v="2024-03-21T00:00:00"/>
    <s v="Empresa"/>
    <s v="Cámara Exterior"/>
    <x v="2"/>
    <s v="Tienda online"/>
    <x v="3"/>
    <s v="13"/>
    <s v="1426"/>
    <n v="3"/>
    <n v="185000"/>
    <n v="108000"/>
    <n v="555000"/>
    <n v="324000"/>
    <n v="231000"/>
    <n v="0.41621621621621618"/>
    <s v="Efectivo"/>
    <s v="Completada"/>
    <n v="2024"/>
    <s v="mar"/>
    <x v="10"/>
  </r>
  <r>
    <n v="16"/>
    <d v="2024-04-05T00:00:00"/>
    <s v="Particular"/>
    <s v="Celular Redmi Note"/>
    <x v="1"/>
    <s v="Tienda online"/>
    <x v="3"/>
    <s v="13"/>
    <s v="1426"/>
    <n v="3"/>
    <n v="390000"/>
    <n v="270000"/>
    <n v="1170000"/>
    <n v="810000"/>
    <n v="360000"/>
    <n v="0.30769230769230771"/>
    <s v="Tarjeta"/>
    <s v="Completada"/>
    <n v="2024"/>
    <s v="abr"/>
    <x v="11"/>
  </r>
  <r>
    <n v="17"/>
    <d v="2024-11-30T00:00:00"/>
    <s v="Particular"/>
    <s v="Celular S24"/>
    <x v="1"/>
    <s v="Sucursal"/>
    <x v="7"/>
    <s v="5"/>
    <s v="1239"/>
    <n v="1"/>
    <n v="780000"/>
    <n v="590000"/>
    <n v="780000"/>
    <n v="590000"/>
    <n v="190000"/>
    <n v="0.24358974358974361"/>
    <s v="Tarjeta"/>
    <s v="Completada"/>
    <n v="2024"/>
    <s v="nov"/>
    <x v="12"/>
  </r>
  <r>
    <n v="18"/>
    <d v="2024-10-26T00:00:00"/>
    <s v="Empresa"/>
    <s v="Celular S24"/>
    <x v="1"/>
    <s v="Sucursal"/>
    <x v="6"/>
    <s v="1"/>
    <s v="1066"/>
    <n v="1"/>
    <n v="780000"/>
    <n v="590000"/>
    <n v="780000"/>
    <n v="590000"/>
    <n v="190000"/>
    <n v="0.24358974358974361"/>
    <s v="Efectivo"/>
    <s v="Completada"/>
    <n v="2024"/>
    <s v="oct"/>
    <x v="13"/>
  </r>
  <r>
    <n v="19"/>
    <d v="2024-10-07T00:00:00"/>
    <s v="Particular"/>
    <s v="Tablet Pro"/>
    <x v="3"/>
    <s v="Sucursal"/>
    <x v="6"/>
    <s v="1"/>
    <s v="1066"/>
    <n v="3"/>
    <n v="520000"/>
    <n v="365000"/>
    <n v="1560000"/>
    <n v="1095000"/>
    <n v="465000"/>
    <n v="0.29807692307692307"/>
    <s v="Mercado Pago"/>
    <s v="Completada"/>
    <n v="2024"/>
    <s v="oct"/>
    <x v="13"/>
  </r>
  <r>
    <n v="20"/>
    <d v="2024-01-03T00:00:00"/>
    <s v="Particular"/>
    <s v="Celular A15"/>
    <x v="1"/>
    <s v="Tienda online"/>
    <x v="0"/>
    <s v="6"/>
    <s v="1405"/>
    <n v="3"/>
    <n v="220000"/>
    <n v="145000"/>
    <n v="660000"/>
    <n v="435000"/>
    <n v="225000"/>
    <n v="0.34090909090909088"/>
    <s v="Efectivo"/>
    <s v="Completada"/>
    <n v="2024"/>
    <s v="ene"/>
    <x v="6"/>
  </r>
  <r>
    <n v="21"/>
    <d v="2024-08-29T00:00:00"/>
    <s v="Empresa"/>
    <s v="Auriculares BT"/>
    <x v="0"/>
    <s v="Sucursal"/>
    <x v="4"/>
    <s v="7"/>
    <s v="1406"/>
    <n v="1"/>
    <n v="45000"/>
    <n v="21000"/>
    <n v="45000"/>
    <n v="21000"/>
    <n v="24000"/>
    <n v="0.53333333333333333"/>
    <s v="Tarjeta"/>
    <s v="Completada"/>
    <n v="2024"/>
    <s v="ago"/>
    <x v="0"/>
  </r>
  <r>
    <n v="22"/>
    <d v="2024-11-17T00:00:00"/>
    <s v="Particular"/>
    <s v="Tablet Pro"/>
    <x v="3"/>
    <s v="Sucursal"/>
    <x v="0"/>
    <s v="6"/>
    <s v="1405"/>
    <n v="4"/>
    <n v="520000"/>
    <n v="365000"/>
    <n v="2080000"/>
    <n v="1460000"/>
    <n v="620000"/>
    <n v="0.29807692307692307"/>
    <s v="Mercado Pago"/>
    <s v="Completada"/>
    <n v="2024"/>
    <s v="nov"/>
    <x v="12"/>
  </r>
  <r>
    <n v="23"/>
    <d v="2024-02-23T00:00:00"/>
    <s v="Particular"/>
    <s v="Celular S24"/>
    <x v="1"/>
    <s v="Sucursal"/>
    <x v="3"/>
    <s v="13"/>
    <s v="1426"/>
    <n v="2"/>
    <n v="780000"/>
    <n v="590000"/>
    <n v="1560000"/>
    <n v="1180000"/>
    <n v="380000"/>
    <n v="0.24358974358974361"/>
    <s v="Tarjeta"/>
    <s v="Completada"/>
    <n v="2024"/>
    <s v="feb"/>
    <x v="14"/>
  </r>
  <r>
    <n v="24"/>
    <d v="2025-11-17T00:00:00"/>
    <s v="Empresa"/>
    <s v="Celular Redmi Note"/>
    <x v="1"/>
    <s v="Sucursal"/>
    <x v="3"/>
    <s v="13"/>
    <s v="1426"/>
    <n v="2"/>
    <n v="390000"/>
    <n v="270000"/>
    <n v="780000"/>
    <n v="540000"/>
    <n v="240000"/>
    <n v="0.30769230769230771"/>
    <s v="Tarjeta"/>
    <s v="Completada"/>
    <n v="2025"/>
    <s v="nov"/>
    <x v="15"/>
  </r>
  <r>
    <n v="25"/>
    <d v="2024-04-19T00:00:00"/>
    <s v="Particular"/>
    <s v="Celular S24"/>
    <x v="1"/>
    <s v="Tienda online"/>
    <x v="3"/>
    <s v="13"/>
    <s v="1426"/>
    <n v="3"/>
    <n v="780000"/>
    <n v="590000"/>
    <n v="2340000"/>
    <n v="1770000"/>
    <n v="570000"/>
    <n v="0.24358974358974361"/>
    <s v="Mercado Pago"/>
    <s v="Completada"/>
    <n v="2024"/>
    <s v="abr"/>
    <x v="11"/>
  </r>
  <r>
    <n v="26"/>
    <d v="2024-03-27T00:00:00"/>
    <s v="Particular"/>
    <s v="Celular A15"/>
    <x v="1"/>
    <s v="Sucursal"/>
    <x v="5"/>
    <s v="14"/>
    <s v="1425"/>
    <n v="1"/>
    <n v="220000"/>
    <n v="145000"/>
    <n v="220000"/>
    <n v="145000"/>
    <n v="75000"/>
    <n v="0.34090909090909088"/>
    <s v="Transferencia"/>
    <s v="Completada"/>
    <n v="2024"/>
    <s v="mar"/>
    <x v="10"/>
  </r>
  <r>
    <n v="27"/>
    <d v="2025-11-23T00:00:00"/>
    <s v="Empresa"/>
    <s v="Cargador USB-C"/>
    <x v="0"/>
    <s v="Sucursal"/>
    <x v="7"/>
    <s v="5"/>
    <s v="1239"/>
    <n v="3"/>
    <n v="24000"/>
    <n v="9500"/>
    <n v="72000"/>
    <n v="28500"/>
    <n v="43500"/>
    <n v="0.60416666666666663"/>
    <s v="Tarjeta"/>
    <s v="Completada"/>
    <n v="2025"/>
    <s v="nov"/>
    <x v="15"/>
  </r>
  <r>
    <n v="28"/>
    <d v="2024-11-10T00:00:00"/>
    <s v="Particular"/>
    <s v="Celular A15"/>
    <x v="1"/>
    <s v="Tienda online"/>
    <x v="5"/>
    <s v="14"/>
    <s v="1425"/>
    <n v="1"/>
    <n v="220000"/>
    <n v="145000"/>
    <n v="220000"/>
    <n v="145000"/>
    <n v="75000"/>
    <n v="0.34090909090909088"/>
    <s v="Mercado Pago"/>
    <s v="Completada"/>
    <n v="2024"/>
    <s v="nov"/>
    <x v="12"/>
  </r>
  <r>
    <n v="29"/>
    <d v="2024-03-08T00:00:00"/>
    <s v="Empresa"/>
    <s v="Celular S24"/>
    <x v="1"/>
    <s v="Tienda online"/>
    <x v="5"/>
    <s v="14"/>
    <s v="1425"/>
    <n v="4"/>
    <n v="780000"/>
    <n v="590000"/>
    <n v="3120000"/>
    <n v="2360000"/>
    <n v="760000"/>
    <n v="0.24358974358974361"/>
    <s v="Transferencia"/>
    <s v="Completada"/>
    <n v="2024"/>
    <s v="mar"/>
    <x v="10"/>
  </r>
  <r>
    <n v="30"/>
    <d v="2024-10-15T00:00:00"/>
    <s v="Empresa"/>
    <s v="Cámara WiFi"/>
    <x v="2"/>
    <s v="Tienda online"/>
    <x v="4"/>
    <s v="7"/>
    <s v="1406"/>
    <n v="2"/>
    <n v="115000"/>
    <n v="68000"/>
    <n v="230000"/>
    <n v="136000"/>
    <n v="94000"/>
    <n v="0.40869565217391313"/>
    <s v="Tarjeta"/>
    <s v="Completada"/>
    <n v="2024"/>
    <s v="oct"/>
    <x v="13"/>
  </r>
  <r>
    <n v="31"/>
    <d v="2024-05-21T00:00:00"/>
    <s v="Particular"/>
    <s v="Auriculares BT"/>
    <x v="0"/>
    <s v="Sucursal"/>
    <x v="0"/>
    <s v="6"/>
    <s v="1405"/>
    <n v="4"/>
    <n v="45000"/>
    <n v="21000"/>
    <n v="180000"/>
    <n v="84000"/>
    <n v="96000"/>
    <n v="0.53333333333333333"/>
    <s v="Transferencia"/>
    <s v="Completada"/>
    <n v="2024"/>
    <s v="may"/>
    <x v="7"/>
  </r>
  <r>
    <n v="32"/>
    <d v="2024-02-09T00:00:00"/>
    <s v="Empresa"/>
    <s v="Celular Redmi Note"/>
    <x v="1"/>
    <s v="Tienda online"/>
    <x v="2"/>
    <s v="13"/>
    <s v="1428"/>
    <n v="4"/>
    <n v="390000"/>
    <n v="270000"/>
    <n v="1560000"/>
    <n v="1080000"/>
    <n v="480000"/>
    <n v="0.30769230769230771"/>
    <s v="Transferencia"/>
    <s v="Completada"/>
    <n v="2024"/>
    <s v="feb"/>
    <x v="14"/>
  </r>
  <r>
    <n v="33"/>
    <d v="2025-03-12T00:00:00"/>
    <s v="Empresa"/>
    <s v="Funda Premium"/>
    <x v="0"/>
    <s v="Tienda online"/>
    <x v="4"/>
    <s v="7"/>
    <s v="1406"/>
    <n v="3"/>
    <n v="28000"/>
    <n v="11000"/>
    <n v="84000"/>
    <n v="33000"/>
    <n v="51000"/>
    <n v="0.6071428571428571"/>
    <s v="Transferencia"/>
    <s v="Completada"/>
    <n v="2025"/>
    <s v="mar"/>
    <x v="4"/>
  </r>
  <r>
    <n v="34"/>
    <d v="2024-02-18T00:00:00"/>
    <s v="Particular"/>
    <s v="Funda Premium"/>
    <x v="0"/>
    <s v="Tienda online"/>
    <x v="6"/>
    <s v="1"/>
    <s v="1066"/>
    <n v="4"/>
    <n v="28000"/>
    <n v="11000"/>
    <n v="112000"/>
    <n v="44000"/>
    <n v="68000"/>
    <n v="0.6071428571428571"/>
    <s v="Mercado Pago"/>
    <s v="Completada"/>
    <n v="2024"/>
    <s v="feb"/>
    <x v="14"/>
  </r>
  <r>
    <n v="35"/>
    <d v="2025-11-01T00:00:00"/>
    <s v="Empresa"/>
    <s v="Tablet Pro"/>
    <x v="3"/>
    <s v="Sucursal"/>
    <x v="6"/>
    <s v="1"/>
    <s v="1066"/>
    <n v="2"/>
    <n v="520000"/>
    <n v="365000"/>
    <n v="1040000"/>
    <n v="730000"/>
    <n v="310000"/>
    <n v="0.29807692307692307"/>
    <s v="Mercado Pago"/>
    <s v="Completada"/>
    <n v="2025"/>
    <s v="nov"/>
    <x v="15"/>
  </r>
  <r>
    <n v="36"/>
    <d v="2024-02-02T00:00:00"/>
    <s v="Empresa"/>
    <s v="Tablet Pro"/>
    <x v="3"/>
    <s v="Sucursal"/>
    <x v="3"/>
    <s v="13"/>
    <s v="1426"/>
    <n v="3"/>
    <n v="520000"/>
    <n v="365000"/>
    <n v="1560000"/>
    <n v="1095000"/>
    <n v="465000"/>
    <n v="0.29807692307692307"/>
    <s v="Mercado Pago"/>
    <s v="Completada"/>
    <n v="2024"/>
    <s v="feb"/>
    <x v="14"/>
  </r>
  <r>
    <n v="37"/>
    <d v="2025-07-28T00:00:00"/>
    <s v="Empresa"/>
    <s v="Tablet 10"/>
    <x v="3"/>
    <s v="Tienda online"/>
    <x v="0"/>
    <s v="6"/>
    <s v="1405"/>
    <n v="1"/>
    <n v="310000"/>
    <n v="210000"/>
    <n v="310000"/>
    <n v="210000"/>
    <n v="100000"/>
    <n v="0.32258064516129031"/>
    <s v="Mercado Pago"/>
    <s v="Completada"/>
    <n v="2025"/>
    <s v="jul"/>
    <x v="16"/>
  </r>
  <r>
    <n v="38"/>
    <d v="2024-12-04T00:00:00"/>
    <s v="Particular"/>
    <s v="Celular A15"/>
    <x v="1"/>
    <s v="Tienda online"/>
    <x v="5"/>
    <s v="14"/>
    <s v="1425"/>
    <n v="1"/>
    <n v="220000"/>
    <n v="145000"/>
    <n v="220000"/>
    <n v="145000"/>
    <n v="75000"/>
    <n v="0.34090909090909088"/>
    <s v="Tarjeta"/>
    <s v="Completada"/>
    <n v="2024"/>
    <s v="dic"/>
    <x v="9"/>
  </r>
  <r>
    <n v="39"/>
    <d v="2025-05-11T00:00:00"/>
    <s v="Particular"/>
    <s v="Celular S24"/>
    <x v="1"/>
    <s v="Tienda online"/>
    <x v="6"/>
    <s v="1"/>
    <s v="1066"/>
    <n v="1"/>
    <n v="780000"/>
    <n v="590000"/>
    <n v="780000"/>
    <n v="590000"/>
    <n v="190000"/>
    <n v="0.24358974358974361"/>
    <s v="Efectivo"/>
    <s v="Completada"/>
    <n v="2025"/>
    <s v="may"/>
    <x v="5"/>
  </r>
  <r>
    <n v="40"/>
    <d v="2025-05-12T00:00:00"/>
    <s v="Particular"/>
    <s v="Celular S24"/>
    <x v="1"/>
    <s v="Tienda online"/>
    <x v="1"/>
    <s v="5"/>
    <s v="1180"/>
    <n v="4"/>
    <n v="780000"/>
    <n v="590000"/>
    <n v="3120000"/>
    <n v="2360000"/>
    <n v="760000"/>
    <n v="0.24358974358974361"/>
    <s v="Tarjeta"/>
    <s v="Completada"/>
    <n v="2025"/>
    <s v="may"/>
    <x v="5"/>
  </r>
  <r>
    <n v="41"/>
    <d v="2025-01-19T00:00:00"/>
    <s v="Particular"/>
    <s v="Tablet Pro"/>
    <x v="3"/>
    <s v="Sucursal"/>
    <x v="1"/>
    <s v="5"/>
    <s v="1180"/>
    <n v="1"/>
    <n v="520000"/>
    <n v="365000"/>
    <n v="520000"/>
    <n v="365000"/>
    <n v="155000"/>
    <n v="0.29807692307692307"/>
    <s v="Transferencia"/>
    <s v="Completada"/>
    <n v="2025"/>
    <s v="ene"/>
    <x v="8"/>
  </r>
  <r>
    <n v="42"/>
    <d v="2024-12-14T00:00:00"/>
    <s v="Particular"/>
    <s v="Celular S24"/>
    <x v="1"/>
    <s v="Tienda online"/>
    <x v="0"/>
    <s v="6"/>
    <s v="1405"/>
    <n v="4"/>
    <n v="780000"/>
    <n v="590000"/>
    <n v="3120000"/>
    <n v="2360000"/>
    <n v="760000"/>
    <n v="0.24358974358974361"/>
    <s v="Efectivo"/>
    <s v="Completada"/>
    <n v="2024"/>
    <s v="dic"/>
    <x v="9"/>
  </r>
  <r>
    <n v="43"/>
    <d v="2025-07-01T00:00:00"/>
    <s v="Empresa"/>
    <s v="Cámara Exterior"/>
    <x v="2"/>
    <s v="Sucursal"/>
    <x v="0"/>
    <s v="6"/>
    <s v="1405"/>
    <n v="4"/>
    <n v="185000"/>
    <n v="108000"/>
    <n v="740000"/>
    <n v="432000"/>
    <n v="308000"/>
    <n v="0.41621621621621618"/>
    <s v="Tarjeta"/>
    <s v="Completada"/>
    <n v="2025"/>
    <s v="jul"/>
    <x v="16"/>
  </r>
  <r>
    <n v="44"/>
    <d v="2025-08-13T00:00:00"/>
    <s v="Particular"/>
    <s v="Cámara WiFi"/>
    <x v="2"/>
    <s v="Tienda online"/>
    <x v="3"/>
    <s v="13"/>
    <s v="1426"/>
    <n v="1"/>
    <n v="115000"/>
    <n v="68000"/>
    <n v="115000"/>
    <n v="68000"/>
    <n v="47000"/>
    <n v="0.40869565217391313"/>
    <s v="Efectivo"/>
    <s v="Completada"/>
    <n v="2025"/>
    <s v="ago"/>
    <x v="1"/>
  </r>
  <r>
    <n v="45"/>
    <d v="2024-05-14T00:00:00"/>
    <s v="Particular"/>
    <s v="Cámara WiFi"/>
    <x v="2"/>
    <s v="Sucursal"/>
    <x v="0"/>
    <s v="6"/>
    <s v="1405"/>
    <n v="1"/>
    <n v="115000"/>
    <n v="68000"/>
    <n v="115000"/>
    <n v="68000"/>
    <n v="47000"/>
    <n v="0.40869565217391313"/>
    <s v="Efectivo"/>
    <s v="Completada"/>
    <n v="2024"/>
    <s v="may"/>
    <x v="7"/>
  </r>
  <r>
    <n v="46"/>
    <d v="2025-10-10T00:00:00"/>
    <s v="Particular"/>
    <s v="Tablet Pro"/>
    <x v="3"/>
    <s v="Sucursal"/>
    <x v="4"/>
    <s v="7"/>
    <s v="1406"/>
    <n v="4"/>
    <n v="520000"/>
    <n v="365000"/>
    <n v="2080000"/>
    <n v="1460000"/>
    <n v="620000"/>
    <n v="0.29807692307692307"/>
    <s v="Transferencia"/>
    <s v="Completada"/>
    <n v="2025"/>
    <s v="oct"/>
    <x v="17"/>
  </r>
  <r>
    <n v="47"/>
    <d v="2024-05-17T00:00:00"/>
    <s v="Particular"/>
    <s v="Funda Premium"/>
    <x v="0"/>
    <s v="Tienda online"/>
    <x v="1"/>
    <s v="5"/>
    <s v="1180"/>
    <n v="1"/>
    <n v="28000"/>
    <n v="11000"/>
    <n v="28000"/>
    <n v="11000"/>
    <n v="17000"/>
    <n v="0.6071428571428571"/>
    <s v="Efectivo"/>
    <s v="Completada"/>
    <n v="2024"/>
    <s v="may"/>
    <x v="7"/>
  </r>
  <r>
    <n v="48"/>
    <d v="2025-02-13T00:00:00"/>
    <s v="Empresa"/>
    <s v="Tablet Pro"/>
    <x v="3"/>
    <s v="Tienda online"/>
    <x v="2"/>
    <s v="13"/>
    <s v="1428"/>
    <n v="1"/>
    <n v="520000"/>
    <n v="365000"/>
    <n v="520000"/>
    <n v="365000"/>
    <n v="155000"/>
    <n v="0.29807692307692307"/>
    <s v="Tarjeta"/>
    <s v="Completada"/>
    <n v="2025"/>
    <s v="feb"/>
    <x v="3"/>
  </r>
  <r>
    <n v="49"/>
    <d v="2024-02-08T00:00:00"/>
    <s v="Empresa"/>
    <s v="Cámara Exterior"/>
    <x v="2"/>
    <s v="Tienda online"/>
    <x v="1"/>
    <s v="5"/>
    <s v="1180"/>
    <n v="1"/>
    <n v="185000"/>
    <n v="108000"/>
    <n v="185000"/>
    <n v="108000"/>
    <n v="77000"/>
    <n v="0.41621621621621618"/>
    <s v="Transferencia"/>
    <s v="Completada"/>
    <n v="2024"/>
    <s v="feb"/>
    <x v="14"/>
  </r>
  <r>
    <n v="50"/>
    <d v="2025-08-06T00:00:00"/>
    <s v="Empresa"/>
    <s v="Celular A15"/>
    <x v="1"/>
    <s v="Sucursal"/>
    <x v="6"/>
    <s v="1"/>
    <s v="1066"/>
    <n v="2"/>
    <n v="220000"/>
    <n v="145000"/>
    <n v="440000"/>
    <n v="290000"/>
    <n v="150000"/>
    <n v="0.34090909090909088"/>
    <s v="Efectivo"/>
    <s v="Completada"/>
    <n v="2025"/>
    <s v="ago"/>
    <x v="1"/>
  </r>
  <r>
    <n v="51"/>
    <d v="2024-02-13T00:00:00"/>
    <s v="Particular"/>
    <s v="Tablet 10"/>
    <x v="3"/>
    <s v="Sucursal"/>
    <x v="5"/>
    <s v="14"/>
    <s v="1425"/>
    <n v="3"/>
    <n v="310000"/>
    <n v="210000"/>
    <n v="930000"/>
    <n v="630000"/>
    <n v="300000"/>
    <n v="0.32258064516129031"/>
    <s v="Mercado Pago"/>
    <s v="Completada"/>
    <n v="2024"/>
    <s v="feb"/>
    <x v="14"/>
  </r>
  <r>
    <n v="52"/>
    <d v="2025-04-27T00:00:00"/>
    <s v="Empresa"/>
    <s v="Cámara WiFi"/>
    <x v="2"/>
    <s v="Sucursal"/>
    <x v="3"/>
    <s v="13"/>
    <s v="1426"/>
    <n v="4"/>
    <n v="115000"/>
    <n v="68000"/>
    <n v="460000"/>
    <n v="272000"/>
    <n v="188000"/>
    <n v="0.40869565217391313"/>
    <s v="Mercado Pago"/>
    <s v="Completada"/>
    <n v="2025"/>
    <s v="abr"/>
    <x v="18"/>
  </r>
  <r>
    <n v="53"/>
    <d v="2025-03-28T00:00:00"/>
    <s v="Empresa"/>
    <s v="Cámara Exterior"/>
    <x v="2"/>
    <s v="Sucursal"/>
    <x v="2"/>
    <s v="13"/>
    <s v="1428"/>
    <n v="3"/>
    <n v="185000"/>
    <n v="108000"/>
    <n v="555000"/>
    <n v="324000"/>
    <n v="231000"/>
    <n v="0.41621621621621618"/>
    <s v="Transferencia"/>
    <s v="Completada"/>
    <n v="2025"/>
    <s v="mar"/>
    <x v="4"/>
  </r>
  <r>
    <n v="54"/>
    <d v="2024-12-15T00:00:00"/>
    <s v="Empresa"/>
    <s v="Cargador USB-C"/>
    <x v="0"/>
    <s v="Tienda online"/>
    <x v="7"/>
    <s v="5"/>
    <s v="1239"/>
    <n v="1"/>
    <n v="24000"/>
    <n v="9500"/>
    <n v="24000"/>
    <n v="9500"/>
    <n v="14500"/>
    <n v="0.60416666666666663"/>
    <s v="Mercado Pago"/>
    <s v="Completada"/>
    <n v="2024"/>
    <s v="dic"/>
    <x v="9"/>
  </r>
  <r>
    <n v="55"/>
    <d v="2025-09-15T00:00:00"/>
    <s v="Particular"/>
    <s v="Tablet 10"/>
    <x v="3"/>
    <s v="Tienda online"/>
    <x v="6"/>
    <s v="1"/>
    <s v="1066"/>
    <n v="3"/>
    <n v="310000"/>
    <n v="210000"/>
    <n v="930000"/>
    <n v="630000"/>
    <n v="300000"/>
    <n v="0.32258064516129031"/>
    <s v="Tarjeta"/>
    <s v="Completada"/>
    <n v="2025"/>
    <s v="sept"/>
    <x v="19"/>
  </r>
  <r>
    <n v="56"/>
    <d v="2025-11-13T00:00:00"/>
    <s v="Particular"/>
    <s v="Celular S24"/>
    <x v="1"/>
    <s v="Sucursal"/>
    <x v="2"/>
    <s v="13"/>
    <s v="1428"/>
    <n v="4"/>
    <n v="780000"/>
    <n v="590000"/>
    <n v="3120000"/>
    <n v="2360000"/>
    <n v="760000"/>
    <n v="0.24358974358974361"/>
    <s v="Tarjeta"/>
    <s v="Completada"/>
    <n v="2025"/>
    <s v="nov"/>
    <x v="15"/>
  </r>
  <r>
    <n v="57"/>
    <d v="2025-09-24T00:00:00"/>
    <s v="Empresa"/>
    <s v="Auriculares BT"/>
    <x v="0"/>
    <s v="Tienda online"/>
    <x v="2"/>
    <s v="13"/>
    <s v="1428"/>
    <n v="2"/>
    <n v="45000"/>
    <n v="21000"/>
    <n v="90000"/>
    <n v="42000"/>
    <n v="48000"/>
    <n v="0.53333333333333333"/>
    <s v="Efectivo"/>
    <s v="Completada"/>
    <n v="2025"/>
    <s v="sept"/>
    <x v="19"/>
  </r>
  <r>
    <n v="58"/>
    <d v="2024-06-09T00:00:00"/>
    <s v="Particular"/>
    <s v="Tablet 10"/>
    <x v="3"/>
    <s v="Sucursal"/>
    <x v="7"/>
    <s v="5"/>
    <s v="1239"/>
    <n v="2"/>
    <n v="310000"/>
    <n v="210000"/>
    <n v="620000"/>
    <n v="420000"/>
    <n v="200000"/>
    <n v="0.32258064516129031"/>
    <s v="Efectivo"/>
    <s v="Completada"/>
    <n v="2024"/>
    <s v="jun"/>
    <x v="20"/>
  </r>
  <r>
    <n v="59"/>
    <d v="2025-11-05T00:00:00"/>
    <s v="Empresa"/>
    <s v="Tablet 10"/>
    <x v="3"/>
    <s v="Tienda online"/>
    <x v="3"/>
    <s v="13"/>
    <s v="1426"/>
    <n v="2"/>
    <n v="310000"/>
    <n v="210000"/>
    <n v="620000"/>
    <n v="420000"/>
    <n v="200000"/>
    <n v="0.32258064516129031"/>
    <s v="Efectivo"/>
    <s v="Completada"/>
    <n v="2025"/>
    <s v="nov"/>
    <x v="15"/>
  </r>
  <r>
    <n v="60"/>
    <d v="2025-11-14T00:00:00"/>
    <s v="Empresa"/>
    <s v="Cargador USB-C"/>
    <x v="0"/>
    <s v="Tienda online"/>
    <x v="4"/>
    <s v="7"/>
    <s v="1406"/>
    <n v="4"/>
    <n v="24000"/>
    <n v="9500"/>
    <n v="96000"/>
    <n v="38000"/>
    <n v="58000"/>
    <n v="0.60416666666666663"/>
    <s v="Efectivo"/>
    <s v="Completada"/>
    <n v="2025"/>
    <s v="nov"/>
    <x v="15"/>
  </r>
  <r>
    <n v="61"/>
    <d v="2025-10-18T00:00:00"/>
    <s v="Particular"/>
    <s v="Tablet Pro"/>
    <x v="3"/>
    <s v="Tienda online"/>
    <x v="5"/>
    <s v="14"/>
    <s v="1425"/>
    <n v="4"/>
    <n v="520000"/>
    <n v="365000"/>
    <n v="2080000"/>
    <n v="1460000"/>
    <n v="620000"/>
    <n v="0.29807692307692307"/>
    <s v="Tarjeta"/>
    <s v="Completada"/>
    <n v="2025"/>
    <s v="oct"/>
    <x v="17"/>
  </r>
  <r>
    <n v="62"/>
    <d v="2025-02-07T00:00:00"/>
    <s v="Particular"/>
    <s v="Tablet 10"/>
    <x v="3"/>
    <s v="Tienda online"/>
    <x v="3"/>
    <s v="13"/>
    <s v="1426"/>
    <n v="1"/>
    <n v="310000"/>
    <n v="210000"/>
    <n v="310000"/>
    <n v="210000"/>
    <n v="100000"/>
    <n v="0.32258064516129031"/>
    <s v="Mercado Pago"/>
    <s v="Completada"/>
    <n v="2025"/>
    <s v="feb"/>
    <x v="3"/>
  </r>
  <r>
    <n v="63"/>
    <d v="2025-11-06T00:00:00"/>
    <s v="Empresa"/>
    <s v="Cargador USB-C"/>
    <x v="0"/>
    <s v="Tienda online"/>
    <x v="2"/>
    <s v="13"/>
    <s v="1428"/>
    <n v="1"/>
    <n v="24000"/>
    <n v="9500"/>
    <n v="24000"/>
    <n v="9500"/>
    <n v="14500"/>
    <n v="0.60416666666666663"/>
    <s v="Transferencia"/>
    <s v="Completada"/>
    <n v="2025"/>
    <s v="nov"/>
    <x v="15"/>
  </r>
  <r>
    <n v="64"/>
    <d v="2024-08-25T00:00:00"/>
    <s v="Empresa"/>
    <s v="Celular S24"/>
    <x v="1"/>
    <s v="Tienda online"/>
    <x v="2"/>
    <s v="13"/>
    <s v="1428"/>
    <n v="2"/>
    <n v="780000"/>
    <n v="590000"/>
    <n v="1560000"/>
    <n v="1180000"/>
    <n v="380000"/>
    <n v="0.24358974358974361"/>
    <s v="Tarjeta"/>
    <s v="Completada"/>
    <n v="2024"/>
    <s v="ago"/>
    <x v="0"/>
  </r>
  <r>
    <n v="65"/>
    <d v="2024-03-10T00:00:00"/>
    <s v="Particular"/>
    <s v="Tablet 10"/>
    <x v="3"/>
    <s v="Tienda online"/>
    <x v="4"/>
    <s v="7"/>
    <s v="1406"/>
    <n v="3"/>
    <n v="310000"/>
    <n v="210000"/>
    <n v="930000"/>
    <n v="630000"/>
    <n v="300000"/>
    <n v="0.32258064516129031"/>
    <s v="Transferencia"/>
    <s v="Completada"/>
    <n v="2024"/>
    <s v="mar"/>
    <x v="10"/>
  </r>
  <r>
    <n v="66"/>
    <d v="2025-07-24T00:00:00"/>
    <s v="Empresa"/>
    <s v="Funda Premium"/>
    <x v="0"/>
    <s v="Tienda online"/>
    <x v="3"/>
    <s v="13"/>
    <s v="1426"/>
    <n v="3"/>
    <n v="28000"/>
    <n v="11000"/>
    <n v="84000"/>
    <n v="33000"/>
    <n v="51000"/>
    <n v="0.6071428571428571"/>
    <s v="Mercado Pago"/>
    <s v="Completada"/>
    <n v="2025"/>
    <s v="jul"/>
    <x v="16"/>
  </r>
  <r>
    <n v="67"/>
    <d v="2024-06-27T00:00:00"/>
    <s v="Particular"/>
    <s v="Auriculares BT"/>
    <x v="0"/>
    <s v="Sucursal"/>
    <x v="7"/>
    <s v="5"/>
    <s v="1239"/>
    <n v="4"/>
    <n v="45000"/>
    <n v="21000"/>
    <n v="180000"/>
    <n v="84000"/>
    <n v="96000"/>
    <n v="0.53333333333333333"/>
    <s v="Efectivo"/>
    <s v="Completada"/>
    <n v="2024"/>
    <s v="jun"/>
    <x v="20"/>
  </r>
  <r>
    <n v="68"/>
    <d v="2024-04-01T00:00:00"/>
    <s v="Particular"/>
    <s v="Celular S24"/>
    <x v="1"/>
    <s v="Sucursal"/>
    <x v="5"/>
    <s v="14"/>
    <s v="1425"/>
    <n v="4"/>
    <n v="780000"/>
    <n v="590000"/>
    <n v="3120000"/>
    <n v="2360000"/>
    <n v="760000"/>
    <n v="0.24358974358974361"/>
    <s v="Efectivo"/>
    <s v="Completada"/>
    <n v="2024"/>
    <s v="abr"/>
    <x v="11"/>
  </r>
  <r>
    <n v="69"/>
    <d v="2024-06-10T00:00:00"/>
    <s v="Empresa"/>
    <s v="Tablet 10"/>
    <x v="3"/>
    <s v="Sucursal"/>
    <x v="0"/>
    <s v="6"/>
    <s v="1405"/>
    <n v="2"/>
    <n v="310000"/>
    <n v="210000"/>
    <n v="620000"/>
    <n v="420000"/>
    <n v="200000"/>
    <n v="0.32258064516129031"/>
    <s v="Tarjeta"/>
    <s v="Completada"/>
    <n v="2024"/>
    <s v="jun"/>
    <x v="20"/>
  </r>
  <r>
    <n v="70"/>
    <d v="2024-01-20T00:00:00"/>
    <s v="Particular"/>
    <s v="Tablet 10"/>
    <x v="3"/>
    <s v="Tienda online"/>
    <x v="2"/>
    <s v="13"/>
    <s v="1428"/>
    <n v="1"/>
    <n v="310000"/>
    <n v="210000"/>
    <n v="310000"/>
    <n v="210000"/>
    <n v="100000"/>
    <n v="0.32258064516129031"/>
    <s v="Tarjeta"/>
    <s v="Completada"/>
    <n v="2024"/>
    <s v="ene"/>
    <x v="6"/>
  </r>
  <r>
    <n v="71"/>
    <d v="2024-03-01T00:00:00"/>
    <s v="Particular"/>
    <s v="Celular Redmi Note"/>
    <x v="1"/>
    <s v="Sucursal"/>
    <x v="6"/>
    <s v="1"/>
    <s v="1066"/>
    <n v="1"/>
    <n v="390000"/>
    <n v="270000"/>
    <n v="390000"/>
    <n v="270000"/>
    <n v="120000"/>
    <n v="0.30769230769230771"/>
    <s v="Efectivo"/>
    <s v="Completada"/>
    <n v="2024"/>
    <s v="mar"/>
    <x v="10"/>
  </r>
  <r>
    <n v="72"/>
    <d v="2024-10-28T00:00:00"/>
    <s v="Particular"/>
    <s v="Celular Redmi Note"/>
    <x v="1"/>
    <s v="Sucursal"/>
    <x v="6"/>
    <s v="1"/>
    <s v="1066"/>
    <n v="1"/>
    <n v="390000"/>
    <n v="270000"/>
    <n v="390000"/>
    <n v="270000"/>
    <n v="120000"/>
    <n v="0.30769230769230771"/>
    <s v="Mercado Pago"/>
    <s v="Completada"/>
    <n v="2024"/>
    <s v="oct"/>
    <x v="13"/>
  </r>
  <r>
    <n v="73"/>
    <d v="2025-01-13T00:00:00"/>
    <s v="Empresa"/>
    <s v="Celular Redmi Note"/>
    <x v="1"/>
    <s v="Sucursal"/>
    <x v="7"/>
    <s v="5"/>
    <s v="1239"/>
    <n v="3"/>
    <n v="390000"/>
    <n v="270000"/>
    <n v="1170000"/>
    <n v="810000"/>
    <n v="360000"/>
    <n v="0.30769230769230771"/>
    <s v="Tarjeta"/>
    <s v="Completada"/>
    <n v="2025"/>
    <s v="ene"/>
    <x v="8"/>
  </r>
  <r>
    <n v="74"/>
    <d v="2024-05-19T00:00:00"/>
    <s v="Empresa"/>
    <s v="Tablet Pro"/>
    <x v="3"/>
    <s v="Sucursal"/>
    <x v="2"/>
    <s v="13"/>
    <s v="1428"/>
    <n v="2"/>
    <n v="520000"/>
    <n v="365000"/>
    <n v="1040000"/>
    <n v="730000"/>
    <n v="310000"/>
    <n v="0.29807692307692307"/>
    <s v="Transferencia"/>
    <s v="Completada"/>
    <n v="2024"/>
    <s v="may"/>
    <x v="7"/>
  </r>
  <r>
    <n v="75"/>
    <d v="2025-02-19T00:00:00"/>
    <s v="Empresa"/>
    <s v="Cámara WiFi"/>
    <x v="2"/>
    <s v="Sucursal"/>
    <x v="1"/>
    <s v="5"/>
    <s v="1180"/>
    <n v="2"/>
    <n v="115000"/>
    <n v="68000"/>
    <n v="230000"/>
    <n v="136000"/>
    <n v="94000"/>
    <n v="0.40869565217391313"/>
    <s v="Mercado Pago"/>
    <s v="Completada"/>
    <n v="2025"/>
    <s v="feb"/>
    <x v="3"/>
  </r>
  <r>
    <n v="76"/>
    <d v="2024-02-23T00:00:00"/>
    <s v="Particular"/>
    <s v="Celular A15"/>
    <x v="1"/>
    <s v="Sucursal"/>
    <x v="5"/>
    <s v="14"/>
    <s v="1425"/>
    <n v="1"/>
    <n v="220000"/>
    <n v="145000"/>
    <n v="220000"/>
    <n v="145000"/>
    <n v="75000"/>
    <n v="0.34090909090909088"/>
    <s v="Efectivo"/>
    <s v="Completada"/>
    <n v="2024"/>
    <s v="feb"/>
    <x v="14"/>
  </r>
  <r>
    <n v="77"/>
    <d v="2025-07-20T00:00:00"/>
    <s v="Particular"/>
    <s v="Tablet 10"/>
    <x v="3"/>
    <s v="Tienda online"/>
    <x v="3"/>
    <s v="13"/>
    <s v="1426"/>
    <n v="2"/>
    <n v="310000"/>
    <n v="210000"/>
    <n v="620000"/>
    <n v="420000"/>
    <n v="200000"/>
    <n v="0.32258064516129031"/>
    <s v="Transferencia"/>
    <s v="Completada"/>
    <n v="2025"/>
    <s v="jul"/>
    <x v="16"/>
  </r>
  <r>
    <n v="78"/>
    <d v="2025-11-21T00:00:00"/>
    <s v="Empresa"/>
    <s v="Cargador USB-C"/>
    <x v="0"/>
    <s v="Sucursal"/>
    <x v="4"/>
    <s v="7"/>
    <s v="1406"/>
    <n v="4"/>
    <n v="24000"/>
    <n v="9500"/>
    <n v="96000"/>
    <n v="38000"/>
    <n v="58000"/>
    <n v="0.60416666666666663"/>
    <s v="Efectivo"/>
    <s v="Completada"/>
    <n v="2025"/>
    <s v="nov"/>
    <x v="15"/>
  </r>
  <r>
    <n v="79"/>
    <d v="2024-03-23T00:00:00"/>
    <s v="Empresa"/>
    <s v="Celular S24"/>
    <x v="1"/>
    <s v="Tienda online"/>
    <x v="0"/>
    <s v="6"/>
    <s v="1405"/>
    <n v="1"/>
    <n v="780000"/>
    <n v="590000"/>
    <n v="780000"/>
    <n v="590000"/>
    <n v="190000"/>
    <n v="0.24358974358974361"/>
    <s v="Tarjeta"/>
    <s v="Completada"/>
    <n v="2024"/>
    <s v="mar"/>
    <x v="10"/>
  </r>
  <r>
    <n v="80"/>
    <d v="2024-01-27T00:00:00"/>
    <s v="Empresa"/>
    <s v="Cámara Exterior"/>
    <x v="2"/>
    <s v="Sucursal"/>
    <x v="0"/>
    <s v="6"/>
    <s v="1405"/>
    <n v="3"/>
    <n v="185000"/>
    <n v="108000"/>
    <n v="555000"/>
    <n v="324000"/>
    <n v="231000"/>
    <n v="0.41621621621621618"/>
    <s v="Transferencia"/>
    <s v="Completada"/>
    <n v="2024"/>
    <s v="ene"/>
    <x v="6"/>
  </r>
  <r>
    <n v="81"/>
    <d v="2024-04-10T00:00:00"/>
    <s v="Particular"/>
    <s v="Cámara Exterior"/>
    <x v="2"/>
    <s v="Sucursal"/>
    <x v="0"/>
    <s v="6"/>
    <s v="1405"/>
    <n v="3"/>
    <n v="185000"/>
    <n v="108000"/>
    <n v="555000"/>
    <n v="324000"/>
    <n v="231000"/>
    <n v="0.41621621621621618"/>
    <s v="Transferencia"/>
    <s v="Completada"/>
    <n v="2024"/>
    <s v="abr"/>
    <x v="11"/>
  </r>
  <r>
    <n v="82"/>
    <d v="2024-03-12T00:00:00"/>
    <s v="Empresa"/>
    <s v="Auriculares BT"/>
    <x v="0"/>
    <s v="Sucursal"/>
    <x v="6"/>
    <s v="1"/>
    <s v="1066"/>
    <n v="3"/>
    <n v="45000"/>
    <n v="21000"/>
    <n v="135000"/>
    <n v="63000"/>
    <n v="72000"/>
    <n v="0.53333333333333333"/>
    <s v="Mercado Pago"/>
    <s v="Completada"/>
    <n v="2024"/>
    <s v="mar"/>
    <x v="10"/>
  </r>
  <r>
    <n v="83"/>
    <d v="2024-01-15T00:00:00"/>
    <s v="Particular"/>
    <s v="Celular S24"/>
    <x v="1"/>
    <s v="Sucursal"/>
    <x v="7"/>
    <s v="5"/>
    <s v="1239"/>
    <n v="4"/>
    <n v="780000"/>
    <n v="590000"/>
    <n v="3120000"/>
    <n v="2360000"/>
    <n v="760000"/>
    <n v="0.24358974358974361"/>
    <s v="Mercado Pago"/>
    <s v="Completada"/>
    <n v="2024"/>
    <s v="ene"/>
    <x v="6"/>
  </r>
  <r>
    <n v="84"/>
    <d v="2024-12-13T00:00:00"/>
    <s v="Particular"/>
    <s v="Funda Premium"/>
    <x v="0"/>
    <s v="Sucursal"/>
    <x v="5"/>
    <s v="14"/>
    <s v="1425"/>
    <n v="1"/>
    <n v="28000"/>
    <n v="11000"/>
    <n v="28000"/>
    <n v="11000"/>
    <n v="17000"/>
    <n v="0.6071428571428571"/>
    <s v="Mercado Pago"/>
    <s v="Completada"/>
    <n v="2024"/>
    <s v="dic"/>
    <x v="9"/>
  </r>
  <r>
    <n v="85"/>
    <d v="2024-12-03T00:00:00"/>
    <s v="Particular"/>
    <s v="Celular Redmi Note"/>
    <x v="1"/>
    <s v="Tienda online"/>
    <x v="3"/>
    <s v="13"/>
    <s v="1426"/>
    <n v="3"/>
    <n v="390000"/>
    <n v="270000"/>
    <n v="1170000"/>
    <n v="810000"/>
    <n v="360000"/>
    <n v="0.30769230769230771"/>
    <s v="Efectivo"/>
    <s v="Completada"/>
    <n v="2024"/>
    <s v="dic"/>
    <x v="9"/>
  </r>
  <r>
    <n v="86"/>
    <d v="2024-01-20T00:00:00"/>
    <s v="Empresa"/>
    <s v="Cargador USB-C"/>
    <x v="0"/>
    <s v="Tienda online"/>
    <x v="7"/>
    <s v="5"/>
    <s v="1239"/>
    <n v="2"/>
    <n v="24000"/>
    <n v="9500"/>
    <n v="48000"/>
    <n v="19000"/>
    <n v="29000"/>
    <n v="0.60416666666666663"/>
    <s v="Efectivo"/>
    <s v="Completada"/>
    <n v="2024"/>
    <s v="ene"/>
    <x v="6"/>
  </r>
  <r>
    <n v="87"/>
    <d v="2024-11-17T00:00:00"/>
    <s v="Empresa"/>
    <s v="Cámara WiFi"/>
    <x v="2"/>
    <s v="Tienda online"/>
    <x v="6"/>
    <s v="1"/>
    <s v="1066"/>
    <n v="4"/>
    <n v="115000"/>
    <n v="68000"/>
    <n v="460000"/>
    <n v="272000"/>
    <n v="188000"/>
    <n v="0.40869565217391313"/>
    <s v="Mercado Pago"/>
    <s v="Completada"/>
    <n v="2024"/>
    <s v="nov"/>
    <x v="12"/>
  </r>
  <r>
    <n v="88"/>
    <d v="2024-01-20T00:00:00"/>
    <s v="Particular"/>
    <s v="Cargador USB-C"/>
    <x v="0"/>
    <s v="Tienda online"/>
    <x v="3"/>
    <s v="13"/>
    <s v="1426"/>
    <n v="3"/>
    <n v="24000"/>
    <n v="9500"/>
    <n v="72000"/>
    <n v="28500"/>
    <n v="43500"/>
    <n v="0.60416666666666663"/>
    <s v="Tarjeta"/>
    <s v="Completada"/>
    <n v="2024"/>
    <s v="ene"/>
    <x v="6"/>
  </r>
  <r>
    <n v="89"/>
    <d v="2024-11-24T00:00:00"/>
    <s v="Empresa"/>
    <s v="Cámara Exterior"/>
    <x v="2"/>
    <s v="Sucursal"/>
    <x v="0"/>
    <s v="6"/>
    <s v="1405"/>
    <n v="4"/>
    <n v="185000"/>
    <n v="108000"/>
    <n v="740000"/>
    <n v="432000"/>
    <n v="308000"/>
    <n v="0.41621621621621618"/>
    <s v="Mercado Pago"/>
    <s v="Completada"/>
    <n v="2024"/>
    <s v="nov"/>
    <x v="12"/>
  </r>
  <r>
    <n v="90"/>
    <d v="2025-07-04T00:00:00"/>
    <s v="Particular"/>
    <s v="Celular Redmi Note"/>
    <x v="1"/>
    <s v="Tienda online"/>
    <x v="1"/>
    <s v="5"/>
    <s v="1180"/>
    <n v="3"/>
    <n v="390000"/>
    <n v="270000"/>
    <n v="1170000"/>
    <n v="810000"/>
    <n v="360000"/>
    <n v="0.30769230769230771"/>
    <s v="Mercado Pago"/>
    <s v="Completada"/>
    <n v="2025"/>
    <s v="jul"/>
    <x v="16"/>
  </r>
  <r>
    <n v="91"/>
    <d v="2025-07-15T00:00:00"/>
    <s v="Empresa"/>
    <s v="Celular Redmi Note"/>
    <x v="1"/>
    <s v="Sucursal"/>
    <x v="1"/>
    <s v="5"/>
    <s v="1180"/>
    <n v="4"/>
    <n v="390000"/>
    <n v="270000"/>
    <n v="1560000"/>
    <n v="1080000"/>
    <n v="480000"/>
    <n v="0.30769230769230771"/>
    <s v="Transferencia"/>
    <s v="Completada"/>
    <n v="2025"/>
    <s v="jul"/>
    <x v="16"/>
  </r>
  <r>
    <n v="92"/>
    <d v="2025-02-26T00:00:00"/>
    <s v="Empresa"/>
    <s v="Tablet Pro"/>
    <x v="3"/>
    <s v="Tienda online"/>
    <x v="6"/>
    <s v="1"/>
    <s v="1066"/>
    <n v="2"/>
    <n v="520000"/>
    <n v="365000"/>
    <n v="1040000"/>
    <n v="730000"/>
    <n v="310000"/>
    <n v="0.29807692307692307"/>
    <s v="Efectivo"/>
    <s v="Completada"/>
    <n v="2025"/>
    <s v="feb"/>
    <x v="3"/>
  </r>
  <r>
    <n v="93"/>
    <d v="2025-12-26T00:00:00"/>
    <s v="Particular"/>
    <s v="Cámara Exterior"/>
    <x v="2"/>
    <s v="Sucursal"/>
    <x v="7"/>
    <s v="5"/>
    <s v="1239"/>
    <n v="4"/>
    <n v="185000"/>
    <n v="108000"/>
    <n v="740000"/>
    <n v="432000"/>
    <n v="308000"/>
    <n v="0.41621621621621618"/>
    <s v="Mercado Pago"/>
    <s v="Completada"/>
    <n v="2025"/>
    <s v="dic"/>
    <x v="21"/>
  </r>
  <r>
    <n v="94"/>
    <d v="2024-06-27T00:00:00"/>
    <s v="Particular"/>
    <s v="Tablet Pro"/>
    <x v="3"/>
    <s v="Tienda online"/>
    <x v="6"/>
    <s v="1"/>
    <s v="1066"/>
    <n v="4"/>
    <n v="520000"/>
    <n v="365000"/>
    <n v="2080000"/>
    <n v="1460000"/>
    <n v="620000"/>
    <n v="0.29807692307692307"/>
    <s v="Mercado Pago"/>
    <s v="Completada"/>
    <n v="2024"/>
    <s v="jun"/>
    <x v="20"/>
  </r>
  <r>
    <n v="95"/>
    <d v="2025-08-28T00:00:00"/>
    <s v="Particular"/>
    <s v="Celular A15"/>
    <x v="1"/>
    <s v="Tienda online"/>
    <x v="5"/>
    <s v="14"/>
    <s v="1425"/>
    <n v="4"/>
    <n v="220000"/>
    <n v="145000"/>
    <n v="880000"/>
    <n v="580000"/>
    <n v="300000"/>
    <n v="0.34090909090909088"/>
    <s v="Transferencia"/>
    <s v="Completada"/>
    <n v="2025"/>
    <s v="ago"/>
    <x v="1"/>
  </r>
  <r>
    <n v="96"/>
    <d v="2024-04-19T00:00:00"/>
    <s v="Particular"/>
    <s v="Funda Premium"/>
    <x v="0"/>
    <s v="Tienda online"/>
    <x v="0"/>
    <s v="6"/>
    <s v="1405"/>
    <n v="3"/>
    <n v="28000"/>
    <n v="11000"/>
    <n v="84000"/>
    <n v="33000"/>
    <n v="51000"/>
    <n v="0.6071428571428571"/>
    <s v="Efectivo"/>
    <s v="Completada"/>
    <n v="2024"/>
    <s v="abr"/>
    <x v="11"/>
  </r>
  <r>
    <n v="97"/>
    <d v="2024-10-12T00:00:00"/>
    <s v="Empresa"/>
    <s v="Auriculares BT"/>
    <x v="0"/>
    <s v="Sucursal"/>
    <x v="0"/>
    <s v="6"/>
    <s v="1405"/>
    <n v="2"/>
    <n v="45000"/>
    <n v="21000"/>
    <n v="90000"/>
    <n v="42000"/>
    <n v="48000"/>
    <n v="0.53333333333333333"/>
    <s v="Efectivo"/>
    <s v="Completada"/>
    <n v="2024"/>
    <s v="oct"/>
    <x v="13"/>
  </r>
  <r>
    <n v="98"/>
    <d v="2025-07-22T00:00:00"/>
    <s v="Particular"/>
    <s v="Cámara Exterior"/>
    <x v="2"/>
    <s v="Sucursal"/>
    <x v="7"/>
    <s v="5"/>
    <s v="1239"/>
    <n v="1"/>
    <n v="185000"/>
    <n v="108000"/>
    <n v="185000"/>
    <n v="108000"/>
    <n v="77000"/>
    <n v="0.41621621621621618"/>
    <s v="Efectivo"/>
    <s v="Completada"/>
    <n v="2025"/>
    <s v="jul"/>
    <x v="16"/>
  </r>
  <r>
    <n v="99"/>
    <d v="2025-12-21T00:00:00"/>
    <s v="Empresa"/>
    <s v="Tablet Pro"/>
    <x v="3"/>
    <s v="Sucursal"/>
    <x v="2"/>
    <s v="13"/>
    <s v="1428"/>
    <n v="4"/>
    <n v="520000"/>
    <n v="365000"/>
    <n v="2080000"/>
    <n v="1460000"/>
    <n v="620000"/>
    <n v="0.29807692307692307"/>
    <s v="Mercado Pago"/>
    <s v="Completada"/>
    <n v="2025"/>
    <s v="dic"/>
    <x v="21"/>
  </r>
  <r>
    <n v="100"/>
    <d v="2025-03-13T00:00:00"/>
    <s v="Particular"/>
    <s v="Tablet Pro"/>
    <x v="3"/>
    <s v="Tienda online"/>
    <x v="0"/>
    <s v="6"/>
    <s v="1405"/>
    <n v="4"/>
    <n v="520000"/>
    <n v="365000"/>
    <n v="2080000"/>
    <n v="1460000"/>
    <n v="620000"/>
    <n v="0.29807692307692307"/>
    <s v="Mercado Pago"/>
    <s v="Completada"/>
    <n v="2025"/>
    <s v="mar"/>
    <x v="4"/>
  </r>
  <r>
    <n v="101"/>
    <d v="2024-08-13T00:00:00"/>
    <s v="Empresa"/>
    <s v="Funda Premium"/>
    <x v="0"/>
    <s v="Tienda online"/>
    <x v="5"/>
    <s v="14"/>
    <s v="1425"/>
    <n v="2"/>
    <n v="28000"/>
    <n v="11000"/>
    <n v="56000"/>
    <n v="22000"/>
    <n v="34000"/>
    <n v="0.6071428571428571"/>
    <s v="Tarjeta"/>
    <s v="Completada"/>
    <n v="2024"/>
    <s v="ago"/>
    <x v="0"/>
  </r>
  <r>
    <n v="102"/>
    <d v="2025-06-25T00:00:00"/>
    <s v="Particular"/>
    <s v="Cámara WiFi"/>
    <x v="2"/>
    <s v="Tienda online"/>
    <x v="0"/>
    <s v="6"/>
    <s v="1405"/>
    <n v="2"/>
    <n v="115000"/>
    <n v="68000"/>
    <n v="230000"/>
    <n v="136000"/>
    <n v="94000"/>
    <n v="0.40869565217391313"/>
    <s v="Mercado Pago"/>
    <s v="Completada"/>
    <n v="2025"/>
    <s v="jun"/>
    <x v="22"/>
  </r>
  <r>
    <n v="103"/>
    <d v="2024-01-27T00:00:00"/>
    <s v="Empresa"/>
    <s v="Cargador USB-C"/>
    <x v="0"/>
    <s v="Tienda online"/>
    <x v="4"/>
    <s v="7"/>
    <s v="1406"/>
    <n v="3"/>
    <n v="24000"/>
    <n v="9500"/>
    <n v="72000"/>
    <n v="28500"/>
    <n v="43500"/>
    <n v="0.60416666666666663"/>
    <s v="Efectivo"/>
    <s v="Completada"/>
    <n v="2024"/>
    <s v="ene"/>
    <x v="6"/>
  </r>
  <r>
    <n v="104"/>
    <d v="2024-05-29T00:00:00"/>
    <s v="Particular"/>
    <s v="Celular Redmi Note"/>
    <x v="1"/>
    <s v="Tienda online"/>
    <x v="0"/>
    <s v="6"/>
    <s v="1405"/>
    <n v="3"/>
    <n v="390000"/>
    <n v="270000"/>
    <n v="1170000"/>
    <n v="810000"/>
    <n v="360000"/>
    <n v="0.30769230769230771"/>
    <s v="Tarjeta"/>
    <s v="Completada"/>
    <n v="2024"/>
    <s v="may"/>
    <x v="7"/>
  </r>
  <r>
    <n v="105"/>
    <d v="2024-07-13T00:00:00"/>
    <s v="Empresa"/>
    <s v="Cámara WiFi"/>
    <x v="2"/>
    <s v="Sucursal"/>
    <x v="5"/>
    <s v="14"/>
    <s v="1425"/>
    <n v="4"/>
    <n v="115000"/>
    <n v="68000"/>
    <n v="460000"/>
    <n v="272000"/>
    <n v="188000"/>
    <n v="0.40869565217391313"/>
    <s v="Efectivo"/>
    <s v="Completada"/>
    <n v="2024"/>
    <s v="jul"/>
    <x v="2"/>
  </r>
  <r>
    <n v="106"/>
    <d v="2025-04-25T00:00:00"/>
    <s v="Empresa"/>
    <s v="Celular Redmi Note"/>
    <x v="1"/>
    <s v="Sucursal"/>
    <x v="2"/>
    <s v="13"/>
    <s v="1428"/>
    <n v="2"/>
    <n v="390000"/>
    <n v="270000"/>
    <n v="780000"/>
    <n v="540000"/>
    <n v="240000"/>
    <n v="0.30769230769230771"/>
    <s v="Mercado Pago"/>
    <s v="Completada"/>
    <n v="2025"/>
    <s v="abr"/>
    <x v="18"/>
  </r>
  <r>
    <n v="107"/>
    <d v="2025-08-14T00:00:00"/>
    <s v="Empresa"/>
    <s v="Funda Premium"/>
    <x v="0"/>
    <s v="Sucursal"/>
    <x v="3"/>
    <s v="13"/>
    <s v="1426"/>
    <n v="2"/>
    <n v="28000"/>
    <n v="11000"/>
    <n v="56000"/>
    <n v="22000"/>
    <n v="34000"/>
    <n v="0.6071428571428571"/>
    <s v="Tarjeta"/>
    <s v="Completada"/>
    <n v="2025"/>
    <s v="ago"/>
    <x v="1"/>
  </r>
  <r>
    <n v="108"/>
    <d v="2024-07-18T00:00:00"/>
    <s v="Particular"/>
    <s v="Cámara Exterior"/>
    <x v="2"/>
    <s v="Tienda online"/>
    <x v="0"/>
    <s v="6"/>
    <s v="1405"/>
    <n v="3"/>
    <n v="185000"/>
    <n v="108000"/>
    <n v="555000"/>
    <n v="324000"/>
    <n v="231000"/>
    <n v="0.41621621621621618"/>
    <s v="Mercado Pago"/>
    <s v="Completada"/>
    <n v="2024"/>
    <s v="jul"/>
    <x v="2"/>
  </r>
  <r>
    <n v="109"/>
    <d v="2024-03-18T00:00:00"/>
    <s v="Particular"/>
    <s v="Cargador USB-C"/>
    <x v="0"/>
    <s v="Tienda online"/>
    <x v="5"/>
    <s v="14"/>
    <s v="1425"/>
    <n v="1"/>
    <n v="24000"/>
    <n v="9500"/>
    <n v="24000"/>
    <n v="9500"/>
    <n v="14500"/>
    <n v="0.60416666666666663"/>
    <s v="Tarjeta"/>
    <s v="Completada"/>
    <n v="2024"/>
    <s v="mar"/>
    <x v="10"/>
  </r>
  <r>
    <n v="110"/>
    <d v="2024-09-11T00:00:00"/>
    <s v="Particular"/>
    <s v="Celular Redmi Note"/>
    <x v="1"/>
    <s v="Sucursal"/>
    <x v="1"/>
    <s v="5"/>
    <s v="1180"/>
    <n v="1"/>
    <n v="390000"/>
    <n v="270000"/>
    <n v="390000"/>
    <n v="270000"/>
    <n v="120000"/>
    <n v="0.30769230769230771"/>
    <s v="Transferencia"/>
    <s v="Completada"/>
    <n v="2024"/>
    <s v="sept"/>
    <x v="23"/>
  </r>
  <r>
    <n v="111"/>
    <d v="2025-04-15T00:00:00"/>
    <s v="Empresa"/>
    <s v="Cámara WiFi"/>
    <x v="2"/>
    <s v="Tienda online"/>
    <x v="5"/>
    <s v="14"/>
    <s v="1425"/>
    <n v="1"/>
    <n v="115000"/>
    <n v="68000"/>
    <n v="115000"/>
    <n v="68000"/>
    <n v="47000"/>
    <n v="0.40869565217391313"/>
    <s v="Tarjeta"/>
    <s v="Completada"/>
    <n v="2025"/>
    <s v="abr"/>
    <x v="18"/>
  </r>
  <r>
    <n v="112"/>
    <d v="2025-03-10T00:00:00"/>
    <s v="Empresa"/>
    <s v="Funda Premium"/>
    <x v="0"/>
    <s v="Tienda online"/>
    <x v="4"/>
    <s v="7"/>
    <s v="1406"/>
    <n v="3"/>
    <n v="28000"/>
    <n v="11000"/>
    <n v="84000"/>
    <n v="33000"/>
    <n v="51000"/>
    <n v="0.6071428571428571"/>
    <s v="Tarjeta"/>
    <s v="Completada"/>
    <n v="2025"/>
    <s v="mar"/>
    <x v="4"/>
  </r>
  <r>
    <n v="113"/>
    <d v="2024-02-12T00:00:00"/>
    <s v="Empresa"/>
    <s v="Celular S24"/>
    <x v="1"/>
    <s v="Tienda online"/>
    <x v="3"/>
    <s v="13"/>
    <s v="1426"/>
    <n v="2"/>
    <n v="780000"/>
    <n v="590000"/>
    <n v="1560000"/>
    <n v="1180000"/>
    <n v="380000"/>
    <n v="0.24358974358974361"/>
    <s v="Tarjeta"/>
    <s v="Completada"/>
    <n v="2024"/>
    <s v="feb"/>
    <x v="14"/>
  </r>
  <r>
    <n v="114"/>
    <d v="2025-06-12T00:00:00"/>
    <s v="Particular"/>
    <s v="Funda Premium"/>
    <x v="0"/>
    <s v="Tienda online"/>
    <x v="2"/>
    <s v="13"/>
    <s v="1428"/>
    <n v="2"/>
    <n v="28000"/>
    <n v="11000"/>
    <n v="56000"/>
    <n v="22000"/>
    <n v="34000"/>
    <n v="0.6071428571428571"/>
    <s v="Transferencia"/>
    <s v="Completada"/>
    <n v="2025"/>
    <s v="jun"/>
    <x v="22"/>
  </r>
  <r>
    <n v="115"/>
    <d v="2025-08-25T00:00:00"/>
    <s v="Particular"/>
    <s v="Celular A15"/>
    <x v="1"/>
    <s v="Sucursal"/>
    <x v="2"/>
    <s v="13"/>
    <s v="1428"/>
    <n v="1"/>
    <n v="220000"/>
    <n v="145000"/>
    <n v="220000"/>
    <n v="145000"/>
    <n v="75000"/>
    <n v="0.34090909090909088"/>
    <s v="Transferencia"/>
    <s v="Completada"/>
    <n v="2025"/>
    <s v="ago"/>
    <x v="1"/>
  </r>
  <r>
    <n v="116"/>
    <d v="2024-12-27T00:00:00"/>
    <s v="Empresa"/>
    <s v="Auriculares BT"/>
    <x v="0"/>
    <s v="Sucursal"/>
    <x v="7"/>
    <s v="5"/>
    <s v="1239"/>
    <n v="2"/>
    <n v="45000"/>
    <n v="21000"/>
    <n v="90000"/>
    <n v="42000"/>
    <n v="48000"/>
    <n v="0.53333333333333333"/>
    <s v="Mercado Pago"/>
    <s v="Completada"/>
    <n v="2024"/>
    <s v="dic"/>
    <x v="9"/>
  </r>
  <r>
    <n v="117"/>
    <d v="2025-03-25T00:00:00"/>
    <s v="Particular"/>
    <s v="Celular Redmi Note"/>
    <x v="1"/>
    <s v="Tienda online"/>
    <x v="3"/>
    <s v="13"/>
    <s v="1426"/>
    <n v="1"/>
    <n v="390000"/>
    <n v="270000"/>
    <n v="390000"/>
    <n v="270000"/>
    <n v="120000"/>
    <n v="0.30769230769230771"/>
    <s v="Transferencia"/>
    <s v="Completada"/>
    <n v="2025"/>
    <s v="mar"/>
    <x v="4"/>
  </r>
  <r>
    <n v="118"/>
    <d v="2024-04-28T00:00:00"/>
    <s v="Particular"/>
    <s v="Funda Premium"/>
    <x v="0"/>
    <s v="Sucursal"/>
    <x v="4"/>
    <s v="7"/>
    <s v="1406"/>
    <n v="4"/>
    <n v="28000"/>
    <n v="11000"/>
    <n v="112000"/>
    <n v="44000"/>
    <n v="68000"/>
    <n v="0.6071428571428571"/>
    <s v="Tarjeta"/>
    <s v="Completada"/>
    <n v="2024"/>
    <s v="abr"/>
    <x v="11"/>
  </r>
  <r>
    <n v="119"/>
    <d v="2024-07-15T00:00:00"/>
    <s v="Empresa"/>
    <s v="Cámara Exterior"/>
    <x v="2"/>
    <s v="Tienda online"/>
    <x v="6"/>
    <s v="1"/>
    <s v="1066"/>
    <n v="1"/>
    <n v="185000"/>
    <n v="108000"/>
    <n v="185000"/>
    <n v="108000"/>
    <n v="77000"/>
    <n v="0.41621621621621618"/>
    <s v="Tarjeta"/>
    <s v="Completada"/>
    <n v="2024"/>
    <s v="jul"/>
    <x v="2"/>
  </r>
  <r>
    <n v="120"/>
    <d v="2025-05-15T00:00:00"/>
    <s v="Empresa"/>
    <s v="Cámara WiFi"/>
    <x v="2"/>
    <s v="Sucursal"/>
    <x v="7"/>
    <s v="5"/>
    <s v="1239"/>
    <n v="3"/>
    <n v="115000"/>
    <n v="68000"/>
    <n v="345000"/>
    <n v="204000"/>
    <n v="141000"/>
    <n v="0.40869565217391313"/>
    <s v="Efectivo"/>
    <s v="Completada"/>
    <n v="2025"/>
    <s v="may"/>
    <x v="5"/>
  </r>
  <r>
    <n v="121"/>
    <d v="2025-10-28T00:00:00"/>
    <s v="Empresa"/>
    <s v="Tablet Pro"/>
    <x v="3"/>
    <s v="Tienda online"/>
    <x v="4"/>
    <s v="7"/>
    <s v="1406"/>
    <n v="1"/>
    <n v="520000"/>
    <n v="365000"/>
    <n v="520000"/>
    <n v="365000"/>
    <n v="155000"/>
    <n v="0.29807692307692307"/>
    <s v="Mercado Pago"/>
    <s v="Completada"/>
    <n v="2025"/>
    <s v="oct"/>
    <x v="17"/>
  </r>
  <r>
    <n v="122"/>
    <d v="2024-06-14T00:00:00"/>
    <s v="Empresa"/>
    <s v="Auriculares BT"/>
    <x v="0"/>
    <s v="Sucursal"/>
    <x v="3"/>
    <s v="13"/>
    <s v="1426"/>
    <n v="3"/>
    <n v="45000"/>
    <n v="21000"/>
    <n v="135000"/>
    <n v="63000"/>
    <n v="72000"/>
    <n v="0.53333333333333333"/>
    <s v="Transferencia"/>
    <s v="Completada"/>
    <n v="2024"/>
    <s v="jun"/>
    <x v="20"/>
  </r>
  <r>
    <n v="123"/>
    <d v="2025-09-29T00:00:00"/>
    <s v="Particular"/>
    <s v="Celular A15"/>
    <x v="1"/>
    <s v="Sucursal"/>
    <x v="1"/>
    <s v="5"/>
    <s v="1180"/>
    <n v="2"/>
    <n v="220000"/>
    <n v="145000"/>
    <n v="440000"/>
    <n v="290000"/>
    <n v="150000"/>
    <n v="0.34090909090909088"/>
    <s v="Mercado Pago"/>
    <s v="Completada"/>
    <n v="2025"/>
    <s v="sept"/>
    <x v="19"/>
  </r>
  <r>
    <n v="124"/>
    <d v="2024-06-03T00:00:00"/>
    <s v="Empresa"/>
    <s v="Cámara WiFi"/>
    <x v="2"/>
    <s v="Sucursal"/>
    <x v="5"/>
    <s v="14"/>
    <s v="1425"/>
    <n v="1"/>
    <n v="115000"/>
    <n v="68000"/>
    <n v="115000"/>
    <n v="68000"/>
    <n v="47000"/>
    <n v="0.40869565217391313"/>
    <s v="Mercado Pago"/>
    <s v="Completada"/>
    <n v="2024"/>
    <s v="jun"/>
    <x v="20"/>
  </r>
  <r>
    <n v="125"/>
    <d v="2025-03-11T00:00:00"/>
    <s v="Empresa"/>
    <s v="Cámara WiFi"/>
    <x v="2"/>
    <s v="Sucursal"/>
    <x v="6"/>
    <s v="1"/>
    <s v="1066"/>
    <n v="2"/>
    <n v="115000"/>
    <n v="68000"/>
    <n v="230000"/>
    <n v="136000"/>
    <n v="94000"/>
    <n v="0.40869565217391313"/>
    <s v="Efectivo"/>
    <s v="Completada"/>
    <n v="2025"/>
    <s v="mar"/>
    <x v="4"/>
  </r>
  <r>
    <n v="126"/>
    <d v="2025-09-03T00:00:00"/>
    <s v="Particular"/>
    <s v="Celular Redmi Note"/>
    <x v="1"/>
    <s v="Tienda online"/>
    <x v="7"/>
    <s v="5"/>
    <s v="1239"/>
    <n v="3"/>
    <n v="390000"/>
    <n v="270000"/>
    <n v="1170000"/>
    <n v="810000"/>
    <n v="360000"/>
    <n v="0.30769230769230771"/>
    <s v="Transferencia"/>
    <s v="Completada"/>
    <n v="2025"/>
    <s v="sept"/>
    <x v="19"/>
  </r>
  <r>
    <n v="127"/>
    <d v="2024-04-06T00:00:00"/>
    <s v="Particular"/>
    <s v="Celular A15"/>
    <x v="1"/>
    <s v="Tienda online"/>
    <x v="2"/>
    <s v="13"/>
    <s v="1428"/>
    <n v="2"/>
    <n v="220000"/>
    <n v="145000"/>
    <n v="440000"/>
    <n v="290000"/>
    <n v="150000"/>
    <n v="0.34090909090909088"/>
    <s v="Transferencia"/>
    <s v="Completada"/>
    <n v="2024"/>
    <s v="abr"/>
    <x v="11"/>
  </r>
  <r>
    <n v="128"/>
    <d v="2025-02-09T00:00:00"/>
    <s v="Empresa"/>
    <s v="Auriculares BT"/>
    <x v="0"/>
    <s v="Tienda online"/>
    <x v="4"/>
    <s v="7"/>
    <s v="1406"/>
    <n v="2"/>
    <n v="45000"/>
    <n v="21000"/>
    <n v="90000"/>
    <n v="42000"/>
    <n v="48000"/>
    <n v="0.53333333333333333"/>
    <s v="Mercado Pago"/>
    <s v="Completada"/>
    <n v="2025"/>
    <s v="feb"/>
    <x v="3"/>
  </r>
  <r>
    <n v="129"/>
    <d v="2025-03-02T00:00:00"/>
    <s v="Particular"/>
    <s v="Cargador USB-C"/>
    <x v="0"/>
    <s v="Sucursal"/>
    <x v="3"/>
    <s v="13"/>
    <s v="1426"/>
    <n v="2"/>
    <n v="24000"/>
    <n v="9500"/>
    <n v="48000"/>
    <n v="19000"/>
    <n v="29000"/>
    <n v="0.60416666666666663"/>
    <s v="Efectivo"/>
    <s v="Completada"/>
    <n v="2025"/>
    <s v="mar"/>
    <x v="4"/>
  </r>
  <r>
    <n v="130"/>
    <d v="2024-07-14T00:00:00"/>
    <s v="Empresa"/>
    <s v="Cámara Exterior"/>
    <x v="2"/>
    <s v="Sucursal"/>
    <x v="1"/>
    <s v="5"/>
    <s v="1180"/>
    <n v="1"/>
    <n v="185000"/>
    <n v="108000"/>
    <n v="185000"/>
    <n v="108000"/>
    <n v="77000"/>
    <n v="0.41621621621621618"/>
    <s v="Efectivo"/>
    <s v="Completada"/>
    <n v="2024"/>
    <s v="jul"/>
    <x v="2"/>
  </r>
  <r>
    <n v="131"/>
    <d v="2024-07-28T00:00:00"/>
    <s v="Empresa"/>
    <s v="Celular Redmi Note"/>
    <x v="1"/>
    <s v="Tienda online"/>
    <x v="3"/>
    <s v="13"/>
    <s v="1426"/>
    <n v="2"/>
    <n v="390000"/>
    <n v="270000"/>
    <n v="780000"/>
    <n v="540000"/>
    <n v="240000"/>
    <n v="0.30769230769230771"/>
    <s v="Mercado Pago"/>
    <s v="Completada"/>
    <n v="2024"/>
    <s v="jul"/>
    <x v="2"/>
  </r>
  <r>
    <n v="132"/>
    <d v="2024-11-18T00:00:00"/>
    <s v="Particular"/>
    <s v="Celular Redmi Note"/>
    <x v="1"/>
    <s v="Tienda online"/>
    <x v="7"/>
    <s v="5"/>
    <s v="1239"/>
    <n v="2"/>
    <n v="390000"/>
    <n v="270000"/>
    <n v="780000"/>
    <n v="540000"/>
    <n v="240000"/>
    <n v="0.30769230769230771"/>
    <s v="Transferencia"/>
    <s v="Completada"/>
    <n v="2024"/>
    <s v="nov"/>
    <x v="12"/>
  </r>
  <r>
    <n v="133"/>
    <d v="2024-10-29T00:00:00"/>
    <s v="Empresa"/>
    <s v="Celular A15"/>
    <x v="1"/>
    <s v="Tienda online"/>
    <x v="4"/>
    <s v="7"/>
    <s v="1406"/>
    <n v="1"/>
    <n v="220000"/>
    <n v="145000"/>
    <n v="220000"/>
    <n v="145000"/>
    <n v="75000"/>
    <n v="0.34090909090909088"/>
    <s v="Tarjeta"/>
    <s v="Completada"/>
    <n v="2024"/>
    <s v="oct"/>
    <x v="13"/>
  </r>
  <r>
    <n v="134"/>
    <d v="2025-11-04T00:00:00"/>
    <s v="Empresa"/>
    <s v="Celular Redmi Note"/>
    <x v="1"/>
    <s v="Tienda online"/>
    <x v="7"/>
    <s v="5"/>
    <s v="1239"/>
    <n v="3"/>
    <n v="390000"/>
    <n v="270000"/>
    <n v="1170000"/>
    <n v="810000"/>
    <n v="360000"/>
    <n v="0.30769230769230771"/>
    <s v="Mercado Pago"/>
    <s v="Completada"/>
    <n v="2025"/>
    <s v="nov"/>
    <x v="15"/>
  </r>
  <r>
    <n v="135"/>
    <d v="2025-11-13T00:00:00"/>
    <s v="Empresa"/>
    <s v="Cargador USB-C"/>
    <x v="0"/>
    <s v="Tienda online"/>
    <x v="2"/>
    <s v="13"/>
    <s v="1428"/>
    <n v="4"/>
    <n v="24000"/>
    <n v="9500"/>
    <n v="96000"/>
    <n v="38000"/>
    <n v="58000"/>
    <n v="0.60416666666666663"/>
    <s v="Tarjeta"/>
    <s v="Completada"/>
    <n v="2025"/>
    <s v="nov"/>
    <x v="15"/>
  </r>
  <r>
    <n v="136"/>
    <d v="2025-11-02T00:00:00"/>
    <s v="Empresa"/>
    <s v="Cámara WiFi"/>
    <x v="2"/>
    <s v="Sucursal"/>
    <x v="7"/>
    <s v="5"/>
    <s v="1239"/>
    <n v="3"/>
    <n v="115000"/>
    <n v="68000"/>
    <n v="345000"/>
    <n v="204000"/>
    <n v="141000"/>
    <n v="0.40869565217391313"/>
    <s v="Tarjeta"/>
    <s v="Completada"/>
    <n v="2025"/>
    <s v="nov"/>
    <x v="15"/>
  </r>
  <r>
    <n v="137"/>
    <d v="2025-12-22T00:00:00"/>
    <s v="Particular"/>
    <s v="Cargador USB-C"/>
    <x v="0"/>
    <s v="Sucursal"/>
    <x v="5"/>
    <s v="14"/>
    <s v="1425"/>
    <n v="2"/>
    <n v="24000"/>
    <n v="9500"/>
    <n v="48000"/>
    <n v="19000"/>
    <n v="29000"/>
    <n v="0.60416666666666663"/>
    <s v="Tarjeta"/>
    <s v="Completada"/>
    <n v="2025"/>
    <s v="dic"/>
    <x v="21"/>
  </r>
  <r>
    <n v="138"/>
    <d v="2025-05-06T00:00:00"/>
    <s v="Empresa"/>
    <s v="Funda Premium"/>
    <x v="0"/>
    <s v="Tienda online"/>
    <x v="0"/>
    <s v="6"/>
    <s v="1405"/>
    <n v="1"/>
    <n v="28000"/>
    <n v="11000"/>
    <n v="28000"/>
    <n v="11000"/>
    <n v="17000"/>
    <n v="0.6071428571428571"/>
    <s v="Tarjeta"/>
    <s v="Completada"/>
    <n v="2025"/>
    <s v="may"/>
    <x v="5"/>
  </r>
  <r>
    <n v="139"/>
    <d v="2025-12-22T00:00:00"/>
    <s v="Particular"/>
    <s v="Celular S24"/>
    <x v="1"/>
    <s v="Sucursal"/>
    <x v="5"/>
    <s v="14"/>
    <s v="1425"/>
    <n v="2"/>
    <n v="780000"/>
    <n v="590000"/>
    <n v="1560000"/>
    <n v="1180000"/>
    <n v="380000"/>
    <n v="0.24358974358974361"/>
    <s v="Mercado Pago"/>
    <s v="Completada"/>
    <n v="2025"/>
    <s v="dic"/>
    <x v="21"/>
  </r>
  <r>
    <n v="140"/>
    <d v="2024-04-20T00:00:00"/>
    <s v="Particular"/>
    <s v="Auriculares BT"/>
    <x v="0"/>
    <s v="Tienda online"/>
    <x v="3"/>
    <s v="13"/>
    <s v="1426"/>
    <n v="4"/>
    <n v="45000"/>
    <n v="21000"/>
    <n v="180000"/>
    <n v="84000"/>
    <n v="96000"/>
    <n v="0.53333333333333333"/>
    <s v="Transferencia"/>
    <s v="Completada"/>
    <n v="2024"/>
    <s v="abr"/>
    <x v="11"/>
  </r>
  <r>
    <n v="141"/>
    <d v="2025-05-06T00:00:00"/>
    <s v="Particular"/>
    <s v="Cargador USB-C"/>
    <x v="0"/>
    <s v="Sucursal"/>
    <x v="1"/>
    <s v="5"/>
    <s v="1180"/>
    <n v="2"/>
    <n v="24000"/>
    <n v="9500"/>
    <n v="48000"/>
    <n v="19000"/>
    <n v="29000"/>
    <n v="0.60416666666666663"/>
    <s v="Transferencia"/>
    <s v="Completada"/>
    <n v="2025"/>
    <s v="may"/>
    <x v="5"/>
  </r>
  <r>
    <n v="142"/>
    <d v="2024-06-17T00:00:00"/>
    <s v="Particular"/>
    <s v="Cámara WiFi"/>
    <x v="2"/>
    <s v="Tienda online"/>
    <x v="4"/>
    <s v="7"/>
    <s v="1406"/>
    <n v="4"/>
    <n v="115000"/>
    <n v="68000"/>
    <n v="460000"/>
    <n v="272000"/>
    <n v="188000"/>
    <n v="0.40869565217391313"/>
    <s v="Mercado Pago"/>
    <s v="Completada"/>
    <n v="2024"/>
    <s v="jun"/>
    <x v="20"/>
  </r>
  <r>
    <n v="143"/>
    <d v="2025-10-29T00:00:00"/>
    <s v="Empresa"/>
    <s v="Auriculares BT"/>
    <x v="0"/>
    <s v="Sucursal"/>
    <x v="2"/>
    <s v="13"/>
    <s v="1428"/>
    <n v="1"/>
    <n v="45000"/>
    <n v="21000"/>
    <n v="45000"/>
    <n v="21000"/>
    <n v="24000"/>
    <n v="0.53333333333333333"/>
    <s v="Mercado Pago"/>
    <s v="Completada"/>
    <n v="2025"/>
    <s v="oct"/>
    <x v="17"/>
  </r>
  <r>
    <n v="144"/>
    <d v="2025-03-03T00:00:00"/>
    <s v="Particular"/>
    <s v="Cámara WiFi"/>
    <x v="2"/>
    <s v="Tienda online"/>
    <x v="6"/>
    <s v="1"/>
    <s v="1066"/>
    <n v="4"/>
    <n v="115000"/>
    <n v="68000"/>
    <n v="460000"/>
    <n v="272000"/>
    <n v="188000"/>
    <n v="0.40869565217391313"/>
    <s v="Tarjeta"/>
    <s v="Completada"/>
    <n v="2025"/>
    <s v="mar"/>
    <x v="4"/>
  </r>
  <r>
    <n v="145"/>
    <d v="2024-07-12T00:00:00"/>
    <s v="Empresa"/>
    <s v="Cámara Exterior"/>
    <x v="2"/>
    <s v="Sucursal"/>
    <x v="6"/>
    <s v="1"/>
    <s v="1066"/>
    <n v="2"/>
    <n v="185000"/>
    <n v="108000"/>
    <n v="370000"/>
    <n v="216000"/>
    <n v="154000"/>
    <n v="0.41621621621621618"/>
    <s v="Efectivo"/>
    <s v="Completada"/>
    <n v="2024"/>
    <s v="jul"/>
    <x v="2"/>
  </r>
  <r>
    <n v="146"/>
    <d v="2024-07-20T00:00:00"/>
    <s v="Empresa"/>
    <s v="Celular A15"/>
    <x v="1"/>
    <s v="Sucursal"/>
    <x v="0"/>
    <s v="6"/>
    <s v="1405"/>
    <n v="3"/>
    <n v="220000"/>
    <n v="145000"/>
    <n v="660000"/>
    <n v="435000"/>
    <n v="225000"/>
    <n v="0.34090909090909088"/>
    <s v="Mercado Pago"/>
    <s v="Completada"/>
    <n v="2024"/>
    <s v="jul"/>
    <x v="2"/>
  </r>
  <r>
    <n v="147"/>
    <d v="2025-08-31T00:00:00"/>
    <s v="Particular"/>
    <s v="Cámara WiFi"/>
    <x v="2"/>
    <s v="Sucursal"/>
    <x v="3"/>
    <s v="13"/>
    <s v="1426"/>
    <n v="2"/>
    <n v="115000"/>
    <n v="68000"/>
    <n v="230000"/>
    <n v="136000"/>
    <n v="94000"/>
    <n v="0.40869565217391313"/>
    <s v="Tarjeta"/>
    <s v="Completada"/>
    <n v="2025"/>
    <s v="ago"/>
    <x v="1"/>
  </r>
  <r>
    <n v="148"/>
    <d v="2024-05-22T00:00:00"/>
    <s v="Particular"/>
    <s v="Cargador USB-C"/>
    <x v="0"/>
    <s v="Tienda online"/>
    <x v="4"/>
    <s v="7"/>
    <s v="1406"/>
    <n v="1"/>
    <n v="24000"/>
    <n v="9500"/>
    <n v="24000"/>
    <n v="9500"/>
    <n v="14500"/>
    <n v="0.60416666666666663"/>
    <s v="Tarjeta"/>
    <s v="Completada"/>
    <n v="2024"/>
    <s v="may"/>
    <x v="7"/>
  </r>
  <r>
    <n v="149"/>
    <d v="2024-04-21T00:00:00"/>
    <s v="Particular"/>
    <s v="Cámara WiFi"/>
    <x v="2"/>
    <s v="Tienda online"/>
    <x v="0"/>
    <s v="6"/>
    <s v="1405"/>
    <n v="4"/>
    <n v="115000"/>
    <n v="68000"/>
    <n v="460000"/>
    <n v="272000"/>
    <n v="188000"/>
    <n v="0.40869565217391313"/>
    <s v="Mercado Pago"/>
    <s v="Completada"/>
    <n v="2024"/>
    <s v="abr"/>
    <x v="11"/>
  </r>
  <r>
    <n v="150"/>
    <d v="2024-02-20T00:00:00"/>
    <s v="Particular"/>
    <s v="Funda Premium"/>
    <x v="0"/>
    <s v="Tienda online"/>
    <x v="4"/>
    <s v="7"/>
    <s v="1406"/>
    <n v="1"/>
    <n v="28000"/>
    <n v="11000"/>
    <n v="28000"/>
    <n v="11000"/>
    <n v="17000"/>
    <n v="0.6071428571428571"/>
    <s v="Mercado Pago"/>
    <s v="Completada"/>
    <n v="2024"/>
    <s v="feb"/>
    <x v="14"/>
  </r>
  <r>
    <n v="151"/>
    <d v="2024-07-29T00:00:00"/>
    <s v="Empresa"/>
    <s v="Cargador USB-C"/>
    <x v="0"/>
    <s v="Sucursal"/>
    <x v="4"/>
    <s v="7"/>
    <s v="1406"/>
    <n v="3"/>
    <n v="24000"/>
    <n v="9500"/>
    <n v="72000"/>
    <n v="28500"/>
    <n v="43500"/>
    <n v="0.60416666666666663"/>
    <s v="Tarjeta"/>
    <s v="Completada"/>
    <n v="2024"/>
    <s v="jul"/>
    <x v="2"/>
  </r>
  <r>
    <n v="152"/>
    <d v="2025-09-05T00:00:00"/>
    <s v="Empresa"/>
    <s v="Funda Premium"/>
    <x v="0"/>
    <s v="Tienda online"/>
    <x v="7"/>
    <s v="5"/>
    <s v="1239"/>
    <n v="3"/>
    <n v="28000"/>
    <n v="11000"/>
    <n v="84000"/>
    <n v="33000"/>
    <n v="51000"/>
    <n v="0.6071428571428571"/>
    <s v="Tarjeta"/>
    <s v="Completada"/>
    <n v="2025"/>
    <s v="sept"/>
    <x v="19"/>
  </r>
  <r>
    <n v="153"/>
    <d v="2024-08-09T00:00:00"/>
    <s v="Empresa"/>
    <s v="Funda Premium"/>
    <x v="0"/>
    <s v="Sucursal"/>
    <x v="7"/>
    <s v="5"/>
    <s v="1239"/>
    <n v="3"/>
    <n v="28000"/>
    <n v="11000"/>
    <n v="84000"/>
    <n v="33000"/>
    <n v="51000"/>
    <n v="0.6071428571428571"/>
    <s v="Efectivo"/>
    <s v="Completada"/>
    <n v="2024"/>
    <s v="ago"/>
    <x v="0"/>
  </r>
  <r>
    <n v="154"/>
    <d v="2024-06-06T00:00:00"/>
    <s v="Particular"/>
    <s v="Celular A15"/>
    <x v="1"/>
    <s v="Tienda online"/>
    <x v="0"/>
    <s v="6"/>
    <s v="1405"/>
    <n v="1"/>
    <n v="220000"/>
    <n v="145000"/>
    <n v="220000"/>
    <n v="145000"/>
    <n v="75000"/>
    <n v="0.34090909090909088"/>
    <s v="Efectivo"/>
    <s v="Completada"/>
    <n v="2024"/>
    <s v="jun"/>
    <x v="20"/>
  </r>
  <r>
    <n v="155"/>
    <d v="2024-11-17T00:00:00"/>
    <s v="Empresa"/>
    <s v="Funda Premium"/>
    <x v="0"/>
    <s v="Sucursal"/>
    <x v="5"/>
    <s v="14"/>
    <s v="1425"/>
    <n v="3"/>
    <n v="28000"/>
    <n v="11000"/>
    <n v="84000"/>
    <n v="33000"/>
    <n v="51000"/>
    <n v="0.6071428571428571"/>
    <s v="Efectivo"/>
    <s v="Completada"/>
    <n v="2024"/>
    <s v="nov"/>
    <x v="12"/>
  </r>
  <r>
    <n v="156"/>
    <d v="2025-01-03T00:00:00"/>
    <s v="Particular"/>
    <s v="Tablet Pro"/>
    <x v="3"/>
    <s v="Sucursal"/>
    <x v="2"/>
    <s v="13"/>
    <s v="1428"/>
    <n v="3"/>
    <n v="520000"/>
    <n v="365000"/>
    <n v="1560000"/>
    <n v="1095000"/>
    <n v="465000"/>
    <n v="0.29807692307692307"/>
    <s v="Efectivo"/>
    <s v="Completada"/>
    <n v="2025"/>
    <s v="ene"/>
    <x v="8"/>
  </r>
  <r>
    <n v="157"/>
    <d v="2024-12-06T00:00:00"/>
    <s v="Particular"/>
    <s v="Celular S24"/>
    <x v="1"/>
    <s v="Sucursal"/>
    <x v="2"/>
    <s v="13"/>
    <s v="1428"/>
    <n v="3"/>
    <n v="780000"/>
    <n v="590000"/>
    <n v="2340000"/>
    <n v="1770000"/>
    <n v="570000"/>
    <n v="0.24358974358974361"/>
    <s v="Transferencia"/>
    <s v="Completada"/>
    <n v="2024"/>
    <s v="dic"/>
    <x v="9"/>
  </r>
  <r>
    <n v="158"/>
    <d v="2025-10-17T00:00:00"/>
    <s v="Particular"/>
    <s v="Cargador USB-C"/>
    <x v="0"/>
    <s v="Tienda online"/>
    <x v="6"/>
    <s v="1"/>
    <s v="1066"/>
    <n v="4"/>
    <n v="24000"/>
    <n v="9500"/>
    <n v="96000"/>
    <n v="38000"/>
    <n v="58000"/>
    <n v="0.60416666666666663"/>
    <s v="Efectivo"/>
    <s v="Completada"/>
    <n v="2025"/>
    <s v="oct"/>
    <x v="17"/>
  </r>
  <r>
    <n v="159"/>
    <d v="2025-11-08T00:00:00"/>
    <s v="Empresa"/>
    <s v="Tablet 10"/>
    <x v="3"/>
    <s v="Sucursal"/>
    <x v="0"/>
    <s v="6"/>
    <s v="1405"/>
    <n v="3"/>
    <n v="310000"/>
    <n v="210000"/>
    <n v="930000"/>
    <n v="630000"/>
    <n v="300000"/>
    <n v="0.32258064516129031"/>
    <s v="Tarjeta"/>
    <s v="Completada"/>
    <n v="2025"/>
    <s v="nov"/>
    <x v="15"/>
  </r>
  <r>
    <n v="160"/>
    <d v="2024-03-18T00:00:00"/>
    <s v="Empresa"/>
    <s v="Tablet 10"/>
    <x v="3"/>
    <s v="Tienda online"/>
    <x v="7"/>
    <s v="5"/>
    <s v="1239"/>
    <n v="4"/>
    <n v="310000"/>
    <n v="210000"/>
    <n v="1240000"/>
    <n v="840000"/>
    <n v="400000"/>
    <n v="0.32258064516129031"/>
    <s v="Efectivo"/>
    <s v="Completada"/>
    <n v="2024"/>
    <s v="mar"/>
    <x v="10"/>
  </r>
  <r>
    <n v="161"/>
    <d v="2025-12-08T00:00:00"/>
    <s v="Empresa"/>
    <s v="Cámara WiFi"/>
    <x v="2"/>
    <s v="Tienda online"/>
    <x v="4"/>
    <s v="7"/>
    <s v="1406"/>
    <n v="1"/>
    <n v="115000"/>
    <n v="68000"/>
    <n v="115000"/>
    <n v="68000"/>
    <n v="47000"/>
    <n v="0.40869565217391313"/>
    <s v="Tarjeta"/>
    <s v="Completada"/>
    <n v="2025"/>
    <s v="dic"/>
    <x v="21"/>
  </r>
  <r>
    <n v="162"/>
    <d v="2024-06-07T00:00:00"/>
    <s v="Empresa"/>
    <s v="Cámara Exterior"/>
    <x v="2"/>
    <s v="Sucursal"/>
    <x v="7"/>
    <s v="5"/>
    <s v="1239"/>
    <n v="3"/>
    <n v="185000"/>
    <n v="108000"/>
    <n v="555000"/>
    <n v="324000"/>
    <n v="231000"/>
    <n v="0.41621621621621618"/>
    <s v="Tarjeta"/>
    <s v="Completada"/>
    <n v="2024"/>
    <s v="jun"/>
    <x v="20"/>
  </r>
  <r>
    <n v="163"/>
    <d v="2025-11-17T00:00:00"/>
    <s v="Particular"/>
    <s v="Cámara WiFi"/>
    <x v="2"/>
    <s v="Tienda online"/>
    <x v="6"/>
    <s v="1"/>
    <s v="1066"/>
    <n v="1"/>
    <n v="115000"/>
    <n v="68000"/>
    <n v="115000"/>
    <n v="68000"/>
    <n v="47000"/>
    <n v="0.40869565217391313"/>
    <s v="Mercado Pago"/>
    <s v="Completada"/>
    <n v="2025"/>
    <s v="nov"/>
    <x v="15"/>
  </r>
  <r>
    <n v="164"/>
    <d v="2025-04-25T00:00:00"/>
    <s v="Particular"/>
    <s v="Celular A15"/>
    <x v="1"/>
    <s v="Sucursal"/>
    <x v="6"/>
    <s v="1"/>
    <s v="1066"/>
    <n v="2"/>
    <n v="220000"/>
    <n v="145000"/>
    <n v="440000"/>
    <n v="290000"/>
    <n v="150000"/>
    <n v="0.34090909090909088"/>
    <s v="Mercado Pago"/>
    <s v="Completada"/>
    <n v="2025"/>
    <s v="abr"/>
    <x v="18"/>
  </r>
  <r>
    <n v="165"/>
    <d v="2025-02-21T00:00:00"/>
    <s v="Empresa"/>
    <s v="Tablet Pro"/>
    <x v="3"/>
    <s v="Sucursal"/>
    <x v="6"/>
    <s v="1"/>
    <s v="1066"/>
    <n v="4"/>
    <n v="520000"/>
    <n v="365000"/>
    <n v="2080000"/>
    <n v="1460000"/>
    <n v="620000"/>
    <n v="0.29807692307692307"/>
    <s v="Transferencia"/>
    <s v="Completada"/>
    <n v="2025"/>
    <s v="feb"/>
    <x v="3"/>
  </r>
  <r>
    <n v="166"/>
    <d v="2025-08-18T00:00:00"/>
    <s v="Particular"/>
    <s v="Tablet 10"/>
    <x v="3"/>
    <s v="Tienda online"/>
    <x v="6"/>
    <s v="1"/>
    <s v="1066"/>
    <n v="3"/>
    <n v="310000"/>
    <n v="210000"/>
    <n v="930000"/>
    <n v="630000"/>
    <n v="300000"/>
    <n v="0.32258064516129031"/>
    <s v="Mercado Pago"/>
    <s v="Completada"/>
    <n v="2025"/>
    <s v="ago"/>
    <x v="1"/>
  </r>
  <r>
    <n v="167"/>
    <d v="2024-08-06T00:00:00"/>
    <s v="Particular"/>
    <s v="Cargador USB-C"/>
    <x v="0"/>
    <s v="Sucursal"/>
    <x v="3"/>
    <s v="13"/>
    <s v="1426"/>
    <n v="1"/>
    <n v="24000"/>
    <n v="9500"/>
    <n v="24000"/>
    <n v="9500"/>
    <n v="14500"/>
    <n v="0.60416666666666663"/>
    <s v="Transferencia"/>
    <s v="Completada"/>
    <n v="2024"/>
    <s v="ago"/>
    <x v="0"/>
  </r>
  <r>
    <n v="168"/>
    <d v="2025-11-11T00:00:00"/>
    <s v="Particular"/>
    <s v="Tablet Pro"/>
    <x v="3"/>
    <s v="Tienda online"/>
    <x v="5"/>
    <s v="14"/>
    <s v="1425"/>
    <n v="3"/>
    <n v="520000"/>
    <n v="365000"/>
    <n v="1560000"/>
    <n v="1095000"/>
    <n v="465000"/>
    <n v="0.29807692307692307"/>
    <s v="Mercado Pago"/>
    <s v="Completada"/>
    <n v="2025"/>
    <s v="nov"/>
    <x v="15"/>
  </r>
  <r>
    <n v="169"/>
    <d v="2025-03-04T00:00:00"/>
    <s v="Empresa"/>
    <s v="Auriculares BT"/>
    <x v="0"/>
    <s v="Sucursal"/>
    <x v="7"/>
    <s v="5"/>
    <s v="1239"/>
    <n v="4"/>
    <n v="45000"/>
    <n v="21000"/>
    <n v="180000"/>
    <n v="84000"/>
    <n v="96000"/>
    <n v="0.53333333333333333"/>
    <s v="Mercado Pago"/>
    <s v="Completada"/>
    <n v="2025"/>
    <s v="mar"/>
    <x v="4"/>
  </r>
  <r>
    <n v="170"/>
    <d v="2024-05-24T00:00:00"/>
    <s v="Empresa"/>
    <s v="Cámara WiFi"/>
    <x v="2"/>
    <s v="Tienda online"/>
    <x v="4"/>
    <s v="7"/>
    <s v="1406"/>
    <n v="4"/>
    <n v="115000"/>
    <n v="68000"/>
    <n v="460000"/>
    <n v="272000"/>
    <n v="188000"/>
    <n v="0.40869565217391313"/>
    <s v="Efectivo"/>
    <s v="Completada"/>
    <n v="2024"/>
    <s v="may"/>
    <x v="7"/>
  </r>
  <r>
    <n v="171"/>
    <d v="2024-08-25T00:00:00"/>
    <s v="Empresa"/>
    <s v="Tablet 10"/>
    <x v="3"/>
    <s v="Sucursal"/>
    <x v="1"/>
    <s v="5"/>
    <s v="1180"/>
    <n v="3"/>
    <n v="310000"/>
    <n v="210000"/>
    <n v="930000"/>
    <n v="630000"/>
    <n v="300000"/>
    <n v="0.32258064516129031"/>
    <s v="Tarjeta"/>
    <s v="Completada"/>
    <n v="2024"/>
    <s v="ago"/>
    <x v="0"/>
  </r>
  <r>
    <n v="172"/>
    <d v="2024-04-09T00:00:00"/>
    <s v="Particular"/>
    <s v="Funda Premium"/>
    <x v="0"/>
    <s v="Tienda online"/>
    <x v="4"/>
    <s v="7"/>
    <s v="1406"/>
    <n v="1"/>
    <n v="28000"/>
    <n v="11000"/>
    <n v="28000"/>
    <n v="11000"/>
    <n v="17000"/>
    <n v="0.6071428571428571"/>
    <s v="Tarjeta"/>
    <s v="Completada"/>
    <n v="2024"/>
    <s v="abr"/>
    <x v="11"/>
  </r>
  <r>
    <n v="173"/>
    <d v="2024-07-31T00:00:00"/>
    <s v="Empresa"/>
    <s v="Auriculares BT"/>
    <x v="0"/>
    <s v="Sucursal"/>
    <x v="3"/>
    <s v="13"/>
    <s v="1426"/>
    <n v="2"/>
    <n v="45000"/>
    <n v="21000"/>
    <n v="90000"/>
    <n v="42000"/>
    <n v="48000"/>
    <n v="0.53333333333333333"/>
    <s v="Mercado Pago"/>
    <s v="Completada"/>
    <n v="2024"/>
    <s v="jul"/>
    <x v="2"/>
  </r>
  <r>
    <n v="174"/>
    <d v="2024-01-29T00:00:00"/>
    <s v="Empresa"/>
    <s v="Cámara WiFi"/>
    <x v="2"/>
    <s v="Tienda online"/>
    <x v="0"/>
    <s v="6"/>
    <s v="1405"/>
    <n v="2"/>
    <n v="115000"/>
    <n v="68000"/>
    <n v="230000"/>
    <n v="136000"/>
    <n v="94000"/>
    <n v="0.40869565217391313"/>
    <s v="Efectivo"/>
    <s v="Completada"/>
    <n v="2024"/>
    <s v="ene"/>
    <x v="6"/>
  </r>
  <r>
    <n v="175"/>
    <d v="2025-03-11T00:00:00"/>
    <s v="Particular"/>
    <s v="Tablet Pro"/>
    <x v="3"/>
    <s v="Tienda online"/>
    <x v="1"/>
    <s v="5"/>
    <s v="1180"/>
    <n v="1"/>
    <n v="520000"/>
    <n v="365000"/>
    <n v="520000"/>
    <n v="365000"/>
    <n v="155000"/>
    <n v="0.29807692307692307"/>
    <s v="Transferencia"/>
    <s v="Completada"/>
    <n v="2025"/>
    <s v="mar"/>
    <x v="4"/>
  </r>
  <r>
    <n v="176"/>
    <d v="2025-11-03T00:00:00"/>
    <s v="Empresa"/>
    <s v="Cargador USB-C"/>
    <x v="0"/>
    <s v="Sucursal"/>
    <x v="0"/>
    <s v="6"/>
    <s v="1405"/>
    <n v="3"/>
    <n v="24000"/>
    <n v="9500"/>
    <n v="72000"/>
    <n v="28500"/>
    <n v="43500"/>
    <n v="0.60416666666666663"/>
    <s v="Tarjeta"/>
    <s v="Completada"/>
    <n v="2025"/>
    <s v="nov"/>
    <x v="15"/>
  </r>
  <r>
    <n v="177"/>
    <d v="2024-08-13T00:00:00"/>
    <s v="Particular"/>
    <s v="Tablet Pro"/>
    <x v="3"/>
    <s v="Sucursal"/>
    <x v="2"/>
    <s v="13"/>
    <s v="1428"/>
    <n v="3"/>
    <n v="520000"/>
    <n v="365000"/>
    <n v="1560000"/>
    <n v="1095000"/>
    <n v="465000"/>
    <n v="0.29807692307692307"/>
    <s v="Transferencia"/>
    <s v="Completada"/>
    <n v="2024"/>
    <s v="ago"/>
    <x v="0"/>
  </r>
  <r>
    <n v="178"/>
    <d v="2024-03-01T00:00:00"/>
    <s v="Empresa"/>
    <s v="Funda Premium"/>
    <x v="0"/>
    <s v="Tienda online"/>
    <x v="3"/>
    <s v="13"/>
    <s v="1426"/>
    <n v="1"/>
    <n v="28000"/>
    <n v="11000"/>
    <n v="28000"/>
    <n v="11000"/>
    <n v="17000"/>
    <n v="0.6071428571428571"/>
    <s v="Transferencia"/>
    <s v="Completada"/>
    <n v="2024"/>
    <s v="mar"/>
    <x v="10"/>
  </r>
  <r>
    <n v="179"/>
    <d v="2024-03-16T00:00:00"/>
    <s v="Empresa"/>
    <s v="Celular S24"/>
    <x v="1"/>
    <s v="Tienda online"/>
    <x v="1"/>
    <s v="5"/>
    <s v="1180"/>
    <n v="2"/>
    <n v="780000"/>
    <n v="590000"/>
    <n v="1560000"/>
    <n v="1180000"/>
    <n v="380000"/>
    <n v="0.24358974358974361"/>
    <s v="Efectivo"/>
    <s v="Completada"/>
    <n v="2024"/>
    <s v="mar"/>
    <x v="10"/>
  </r>
  <r>
    <n v="180"/>
    <d v="2025-03-13T00:00:00"/>
    <s v="Particular"/>
    <s v="Celular Redmi Note"/>
    <x v="1"/>
    <s v="Sucursal"/>
    <x v="0"/>
    <s v="6"/>
    <s v="1405"/>
    <n v="3"/>
    <n v="390000"/>
    <n v="270000"/>
    <n v="1170000"/>
    <n v="810000"/>
    <n v="360000"/>
    <n v="0.30769230769230771"/>
    <s v="Mercado Pago"/>
    <s v="Completada"/>
    <n v="2025"/>
    <s v="mar"/>
    <x v="4"/>
  </r>
  <r>
    <n v="181"/>
    <d v="2025-02-12T00:00:00"/>
    <s v="Empresa"/>
    <s v="Cámara WiFi"/>
    <x v="2"/>
    <s v="Sucursal"/>
    <x v="7"/>
    <s v="5"/>
    <s v="1239"/>
    <n v="4"/>
    <n v="115000"/>
    <n v="68000"/>
    <n v="460000"/>
    <n v="272000"/>
    <n v="188000"/>
    <n v="0.40869565217391313"/>
    <s v="Mercado Pago"/>
    <s v="Completada"/>
    <n v="2025"/>
    <s v="feb"/>
    <x v="3"/>
  </r>
  <r>
    <n v="182"/>
    <d v="2025-04-16T00:00:00"/>
    <s v="Empresa"/>
    <s v="Funda Premium"/>
    <x v="0"/>
    <s v="Sucursal"/>
    <x v="7"/>
    <s v="5"/>
    <s v="1239"/>
    <n v="2"/>
    <n v="28000"/>
    <n v="11000"/>
    <n v="56000"/>
    <n v="22000"/>
    <n v="34000"/>
    <n v="0.6071428571428571"/>
    <s v="Transferencia"/>
    <s v="Completada"/>
    <n v="2025"/>
    <s v="abr"/>
    <x v="18"/>
  </r>
  <r>
    <n v="183"/>
    <d v="2024-01-15T00:00:00"/>
    <s v="Empresa"/>
    <s v="Funda Premium"/>
    <x v="0"/>
    <s v="Sucursal"/>
    <x v="5"/>
    <s v="14"/>
    <s v="1425"/>
    <n v="4"/>
    <n v="28000"/>
    <n v="11000"/>
    <n v="112000"/>
    <n v="44000"/>
    <n v="68000"/>
    <n v="0.6071428571428571"/>
    <s v="Tarjeta"/>
    <s v="Completada"/>
    <n v="2024"/>
    <s v="ene"/>
    <x v="6"/>
  </r>
  <r>
    <n v="184"/>
    <d v="2024-05-05T00:00:00"/>
    <s v="Particular"/>
    <s v="Cámara WiFi"/>
    <x v="2"/>
    <s v="Sucursal"/>
    <x v="5"/>
    <s v="14"/>
    <s v="1425"/>
    <n v="1"/>
    <n v="115000"/>
    <n v="68000"/>
    <n v="115000"/>
    <n v="68000"/>
    <n v="47000"/>
    <n v="0.40869565217391313"/>
    <s v="Tarjeta"/>
    <s v="Completada"/>
    <n v="2024"/>
    <s v="may"/>
    <x v="7"/>
  </r>
  <r>
    <n v="185"/>
    <d v="2025-01-09T00:00:00"/>
    <s v="Empresa"/>
    <s v="Cámara Exterior"/>
    <x v="2"/>
    <s v="Tienda online"/>
    <x v="0"/>
    <s v="6"/>
    <s v="1405"/>
    <n v="1"/>
    <n v="185000"/>
    <n v="108000"/>
    <n v="185000"/>
    <n v="108000"/>
    <n v="77000"/>
    <n v="0.41621621621621618"/>
    <s v="Tarjeta"/>
    <s v="Completada"/>
    <n v="2025"/>
    <s v="ene"/>
    <x v="8"/>
  </r>
  <r>
    <n v="186"/>
    <d v="2025-09-29T00:00:00"/>
    <s v="Particular"/>
    <s v="Cargador USB-C"/>
    <x v="0"/>
    <s v="Tienda online"/>
    <x v="1"/>
    <s v="5"/>
    <s v="1180"/>
    <n v="1"/>
    <n v="24000"/>
    <n v="9500"/>
    <n v="24000"/>
    <n v="9500"/>
    <n v="14500"/>
    <n v="0.60416666666666663"/>
    <s v="Mercado Pago"/>
    <s v="Completada"/>
    <n v="2025"/>
    <s v="sept"/>
    <x v="19"/>
  </r>
  <r>
    <n v="187"/>
    <d v="2024-08-24T00:00:00"/>
    <s v="Empresa"/>
    <s v="Cámara Exterior"/>
    <x v="2"/>
    <s v="Sucursal"/>
    <x v="1"/>
    <s v="5"/>
    <s v="1180"/>
    <n v="4"/>
    <n v="185000"/>
    <n v="108000"/>
    <n v="740000"/>
    <n v="432000"/>
    <n v="308000"/>
    <n v="0.41621621621621618"/>
    <s v="Mercado Pago"/>
    <s v="Completada"/>
    <n v="2024"/>
    <s v="ago"/>
    <x v="0"/>
  </r>
  <r>
    <n v="188"/>
    <d v="2025-06-23T00:00:00"/>
    <s v="Particular"/>
    <s v="Cargador USB-C"/>
    <x v="0"/>
    <s v="Sucursal"/>
    <x v="6"/>
    <s v="1"/>
    <s v="1066"/>
    <n v="3"/>
    <n v="24000"/>
    <n v="9500"/>
    <n v="72000"/>
    <n v="28500"/>
    <n v="43500"/>
    <n v="0.60416666666666663"/>
    <s v="Transferencia"/>
    <s v="Completada"/>
    <n v="2025"/>
    <s v="jun"/>
    <x v="22"/>
  </r>
  <r>
    <n v="189"/>
    <d v="2025-03-05T00:00:00"/>
    <s v="Empresa"/>
    <s v="Cámara Exterior"/>
    <x v="2"/>
    <s v="Tienda online"/>
    <x v="7"/>
    <s v="5"/>
    <s v="1239"/>
    <n v="3"/>
    <n v="185000"/>
    <n v="108000"/>
    <n v="555000"/>
    <n v="324000"/>
    <n v="231000"/>
    <n v="0.41621621621621618"/>
    <s v="Transferencia"/>
    <s v="Completada"/>
    <n v="2025"/>
    <s v="mar"/>
    <x v="4"/>
  </r>
  <r>
    <n v="190"/>
    <d v="2025-12-22T00:00:00"/>
    <s v="Particular"/>
    <s v="Tablet Pro"/>
    <x v="3"/>
    <s v="Sucursal"/>
    <x v="5"/>
    <s v="14"/>
    <s v="1425"/>
    <n v="4"/>
    <n v="520000"/>
    <n v="365000"/>
    <n v="2080000"/>
    <n v="1460000"/>
    <n v="620000"/>
    <n v="0.29807692307692307"/>
    <s v="Efectivo"/>
    <s v="Completada"/>
    <n v="2025"/>
    <s v="dic"/>
    <x v="21"/>
  </r>
  <r>
    <n v="191"/>
    <d v="2024-11-20T00:00:00"/>
    <s v="Empresa"/>
    <s v="Celular A15"/>
    <x v="1"/>
    <s v="Sucursal"/>
    <x v="7"/>
    <s v="5"/>
    <s v="1239"/>
    <n v="1"/>
    <n v="220000"/>
    <n v="145000"/>
    <n v="220000"/>
    <n v="145000"/>
    <n v="75000"/>
    <n v="0.34090909090909088"/>
    <s v="Tarjeta"/>
    <s v="Completada"/>
    <n v="2024"/>
    <s v="nov"/>
    <x v="12"/>
  </r>
  <r>
    <n v="192"/>
    <d v="2025-07-24T00:00:00"/>
    <s v="Particular"/>
    <s v="Celular S24"/>
    <x v="1"/>
    <s v="Sucursal"/>
    <x v="1"/>
    <s v="5"/>
    <s v="1180"/>
    <n v="3"/>
    <n v="780000"/>
    <n v="590000"/>
    <n v="2340000"/>
    <n v="1770000"/>
    <n v="570000"/>
    <n v="0.24358974358974361"/>
    <s v="Mercado Pago"/>
    <s v="Completada"/>
    <n v="2025"/>
    <s v="jul"/>
    <x v="16"/>
  </r>
  <r>
    <n v="193"/>
    <d v="2025-11-18T00:00:00"/>
    <s v="Particular"/>
    <s v="Cámara WiFi"/>
    <x v="2"/>
    <s v="Tienda online"/>
    <x v="2"/>
    <s v="13"/>
    <s v="1428"/>
    <n v="4"/>
    <n v="115000"/>
    <n v="68000"/>
    <n v="460000"/>
    <n v="272000"/>
    <n v="188000"/>
    <n v="0.40869565217391313"/>
    <s v="Transferencia"/>
    <s v="Completada"/>
    <n v="2025"/>
    <s v="nov"/>
    <x v="15"/>
  </r>
  <r>
    <n v="194"/>
    <d v="2024-03-07T00:00:00"/>
    <s v="Empresa"/>
    <s v="Cámara Exterior"/>
    <x v="2"/>
    <s v="Sucursal"/>
    <x v="0"/>
    <s v="6"/>
    <s v="1405"/>
    <n v="3"/>
    <n v="185000"/>
    <n v="108000"/>
    <n v="555000"/>
    <n v="324000"/>
    <n v="231000"/>
    <n v="0.41621621621621618"/>
    <s v="Mercado Pago"/>
    <s v="Completada"/>
    <n v="2024"/>
    <s v="mar"/>
    <x v="10"/>
  </r>
  <r>
    <n v="195"/>
    <d v="2025-10-02T00:00:00"/>
    <s v="Particular"/>
    <s v="Tablet Pro"/>
    <x v="3"/>
    <s v="Sucursal"/>
    <x v="5"/>
    <s v="14"/>
    <s v="1425"/>
    <n v="4"/>
    <n v="520000"/>
    <n v="365000"/>
    <n v="2080000"/>
    <n v="1460000"/>
    <n v="620000"/>
    <n v="0.29807692307692307"/>
    <s v="Transferencia"/>
    <s v="Completada"/>
    <n v="2025"/>
    <s v="oct"/>
    <x v="17"/>
  </r>
  <r>
    <n v="196"/>
    <d v="2025-08-27T00:00:00"/>
    <s v="Particular"/>
    <s v="Auriculares BT"/>
    <x v="0"/>
    <s v="Tienda online"/>
    <x v="6"/>
    <s v="1"/>
    <s v="1066"/>
    <n v="1"/>
    <n v="45000"/>
    <n v="21000"/>
    <n v="45000"/>
    <n v="21000"/>
    <n v="24000"/>
    <n v="0.53333333333333333"/>
    <s v="Transferencia"/>
    <s v="Completada"/>
    <n v="2025"/>
    <s v="ago"/>
    <x v="1"/>
  </r>
  <r>
    <n v="197"/>
    <d v="2025-03-05T00:00:00"/>
    <s v="Particular"/>
    <s v="Cámara WiFi"/>
    <x v="2"/>
    <s v="Sucursal"/>
    <x v="0"/>
    <s v="6"/>
    <s v="1405"/>
    <n v="3"/>
    <n v="115000"/>
    <n v="68000"/>
    <n v="345000"/>
    <n v="204000"/>
    <n v="141000"/>
    <n v="0.40869565217391313"/>
    <s v="Transferencia"/>
    <s v="Completada"/>
    <n v="2025"/>
    <s v="mar"/>
    <x v="4"/>
  </r>
  <r>
    <n v="198"/>
    <d v="2025-08-25T00:00:00"/>
    <s v="Particular"/>
    <s v="Cargador USB-C"/>
    <x v="0"/>
    <s v="Tienda online"/>
    <x v="6"/>
    <s v="1"/>
    <s v="1066"/>
    <n v="3"/>
    <n v="24000"/>
    <n v="9500"/>
    <n v="72000"/>
    <n v="28500"/>
    <n v="43500"/>
    <n v="0.60416666666666663"/>
    <s v="Tarjeta"/>
    <s v="Completada"/>
    <n v="2025"/>
    <s v="ago"/>
    <x v="1"/>
  </r>
  <r>
    <n v="199"/>
    <d v="2024-01-17T00:00:00"/>
    <s v="Empresa"/>
    <s v="Celular A15"/>
    <x v="1"/>
    <s v="Sucursal"/>
    <x v="2"/>
    <s v="13"/>
    <s v="1428"/>
    <n v="3"/>
    <n v="220000"/>
    <n v="145000"/>
    <n v="660000"/>
    <n v="435000"/>
    <n v="225000"/>
    <n v="0.34090909090909088"/>
    <s v="Efectivo"/>
    <s v="Completada"/>
    <n v="2024"/>
    <s v="ene"/>
    <x v="6"/>
  </r>
  <r>
    <n v="200"/>
    <d v="2025-02-08T00:00:00"/>
    <s v="Particular"/>
    <s v="Cámara Exterior"/>
    <x v="2"/>
    <s v="Tienda online"/>
    <x v="0"/>
    <s v="6"/>
    <s v="1405"/>
    <n v="3"/>
    <n v="185000"/>
    <n v="108000"/>
    <n v="555000"/>
    <n v="324000"/>
    <n v="231000"/>
    <n v="0.41621621621621618"/>
    <s v="Efectivo"/>
    <s v="Completada"/>
    <n v="2025"/>
    <s v="feb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027EB-3EC9-4AC6-A617-F2A56AD59182}" name="ptTendencia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 chartFormat="3">
  <location ref="A1:C25" firstHeaderRow="0" firstDataRow="1" firstDataCol="1"/>
  <pivotFields count="21">
    <pivotField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6" outline="0" showAll="0"/>
    <pivotField compact="0" numFmtId="166" outline="0" showAll="0"/>
    <pivotField dataField="1" compact="0" numFmtId="166" outline="0" showAll="0"/>
    <pivotField compact="0" numFmtId="166" outline="0" showAll="0"/>
    <pivotField dataField="1" compact="0" numFmtId="166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numFmtId="169" outline="0" showAll="0">
      <items count="25">
        <item x="6"/>
        <item x="14"/>
        <item x="10"/>
        <item x="11"/>
        <item x="7"/>
        <item x="20"/>
        <item x="2"/>
        <item x="0"/>
        <item x="23"/>
        <item x="13"/>
        <item x="12"/>
        <item x="9"/>
        <item x="8"/>
        <item x="3"/>
        <item x="4"/>
        <item x="18"/>
        <item x="5"/>
        <item x="22"/>
        <item x="16"/>
        <item x="1"/>
        <item x="19"/>
        <item x="17"/>
        <item x="15"/>
        <item x="21"/>
        <item t="default"/>
      </items>
    </pivotField>
  </pivotFields>
  <rowFields count="1">
    <field x="2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-2"/>
  </colFields>
  <colItems count="2">
    <i>
      <x/>
    </i>
    <i i="1">
      <x v="1"/>
    </i>
  </colItems>
  <dataFields count="2">
    <dataField name="Suma de Ventas" fld="12" baseField="0" baseItem="0" numFmtId="166"/>
    <dataField name="Suma de Margen" fld="14" baseField="0" baseItem="0" numFmtId="166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A9A3FD-7186-482B-9076-B4AFCE31E3B3}" name="ptKPI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N1:P2" firstHeaderRow="0" firstDataRow="1" firstDataCol="0"/>
  <pivotFields count="21">
    <pivotField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166" outline="0" showAll="0"/>
    <pivotField compact="0" numFmtId="166" outline="0" showAll="0"/>
    <pivotField dataField="1" compact="0" numFmtId="166" outline="0" showAll="0"/>
    <pivotField compact="0" numFmtId="166" outline="0" showAll="0"/>
    <pivotField dataField="1" compact="0" numFmtId="166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Ventas" fld="12" baseField="0" baseItem="0" numFmtId="166"/>
    <dataField name="Suma de Margen" fld="14" baseField="0" baseItem="0" numFmtId="166"/>
    <dataField name="Suma de Cantidad" fld="9" baseField="0" baseItem="0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1C552B-C1DD-4720-9638-309C68006452}" name="ptBarrio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J1:K9" firstHeaderRow="1" firstDataRow="1" firstDataCol="1"/>
  <pivotFields count="21">
    <pivotField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9">
        <item x="1"/>
        <item x="2"/>
        <item x="7"/>
        <item x="0"/>
        <item x="3"/>
        <item x="4"/>
        <item x="5"/>
        <item x="6"/>
        <item t="default"/>
      </items>
    </pivotField>
    <pivotField compact="0" outline="0" showAll="0"/>
    <pivotField compact="0" outline="0" showAll="0"/>
    <pivotField compact="0" outline="0" showAll="0"/>
    <pivotField compact="0" numFmtId="166" outline="0" showAll="0"/>
    <pivotField compact="0" numFmtId="166" outline="0" showAll="0"/>
    <pivotField dataField="1" compact="0" numFmtId="166" outline="0" showAll="0"/>
    <pivotField compact="0" numFmtId="166" outline="0" showAll="0"/>
    <pivotField compact="0" numFmtId="166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</pivotFields>
  <rowFields count="1">
    <field x="6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rowItems>
  <colItems count="1">
    <i/>
  </colItems>
  <dataFields count="1">
    <dataField name="Suma de Ventas" fld="12" baseField="0" baseItem="0" numFmtId="166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8DE8DB-741B-441E-A3D0-17F5E0F61B8F}" name="ptCategoria" cacheId="0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E1:G5" firstHeaderRow="0" firstDataRow="1" firstDataCol="1"/>
  <pivotFields count="21">
    <pivotField compact="0" outline="0" showAll="0"/>
    <pivotField compact="0" numFmtId="165" outline="0" showAll="0"/>
    <pivotField compact="0" outline="0" showAll="0"/>
    <pivotField compact="0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6" outline="0" showAll="0"/>
    <pivotField compact="0" numFmtId="166" outline="0" showAll="0"/>
    <pivotField dataField="1" compact="0" numFmtId="166" outline="0" showAll="0"/>
    <pivotField compact="0" numFmtId="166" outline="0" showAll="0"/>
    <pivotField dataField="1" compact="0" numFmtId="166" outline="0" showAll="0"/>
    <pivotField compact="0" numFmtId="167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9" outline="0" showAll="0"/>
  </pivotFields>
  <rowFields count="1">
    <field x="4"/>
  </rowFields>
  <rowItems count="4">
    <i>
      <x/>
    </i>
    <i>
      <x v="1"/>
    </i>
    <i>
      <x v="2"/>
    </i>
    <i>
      <x v="3"/>
    </i>
  </rowItems>
  <colFields count="1">
    <field x="-2"/>
  </colFields>
  <colItems count="2">
    <i>
      <x/>
    </i>
    <i i="1">
      <x v="1"/>
    </i>
  </colItems>
  <dataFields count="2">
    <dataField name="Suma de Ventas" fld="12" baseField="0" baseItem="0" numFmtId="166"/>
    <dataField name="Suma de Margen" fld="14" baseField="0" baseItem="0" numFmtId="166"/>
  </dataField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" xr10:uid="{6A58B809-9559-4978-B887-6C722BF3E48D}" sourceName="Año">
  <extLst>
    <x:ext xmlns:x15="http://schemas.microsoft.com/office/spreadsheetml/2010/11/main" uri="{2F2917AC-EB37-4324-AD4E-5DD8C200BD13}">
      <x15:tableSlicerCache tableId="2" column="19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ía" xr10:uid="{07021EEE-F1C0-4F97-AC81-3BDC8927444B}" sourceName="Categoría">
  <extLst>
    <x:ext xmlns:x15="http://schemas.microsoft.com/office/spreadsheetml/2010/11/main" uri="{2F2917AC-EB37-4324-AD4E-5DD8C200BD13}">
      <x15:tableSlicerCache tableId="2" column="5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rrio" xr10:uid="{63467083-F16B-4BAA-9254-32B755CF443E}" sourceName="Barrio">
  <extLst>
    <x:ext xmlns:x15="http://schemas.microsoft.com/office/spreadsheetml/2010/11/main" uri="{2F2917AC-EB37-4324-AD4E-5DD8C200BD13}">
      <x15:tableSlicerCache tableId="2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iltro Año" xr10:uid="{317FE3C5-9329-4381-8CA3-053DD62AD5D7}" cache="SegmentaciónDeDatos_Año" caption="AÑO" rowHeight="241300"/>
  <slicer name="Filtro Categoría" xr10:uid="{A1197ECF-A6E0-4986-8F04-0B81EA0F1416}" cache="SegmentaciónDeDatos_Categoría" caption="CATEGORÍA" rowHeight="241300"/>
  <slicer name="Filtro Barrio" xr10:uid="{5DD04324-1673-4F7D-AD9C-9E7064F9340F}" cache="SegmentaciónDeDatos_Barrio" caption="BARRI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osCrudos" displayName="tblDatosCrudos" ref="A1:R201">
  <autoFilter ref="A1:R201" xr:uid="{00000000-0009-0000-0100-000001000000}"/>
  <tableColumns count="18">
    <tableColumn id="1" xr3:uid="{00000000-0010-0000-0000-000001000000}" name="ID_Venta"/>
    <tableColumn id="2" xr3:uid="{00000000-0010-0000-0000-000002000000}" name="Fecha"/>
    <tableColumn id="3" xr3:uid="{00000000-0010-0000-0000-000003000000}" name="Cliente_Tipo"/>
    <tableColumn id="4" xr3:uid="{00000000-0010-0000-0000-000004000000}" name="Producto"/>
    <tableColumn id="5" xr3:uid="{00000000-0010-0000-0000-000005000000}" name="Categoría"/>
    <tableColumn id="6" xr3:uid="{00000000-0010-0000-0000-000006000000}" name="Canal"/>
    <tableColumn id="7" xr3:uid="{00000000-0010-0000-0000-000007000000}" name="Barrio"/>
    <tableColumn id="8" xr3:uid="{00000000-0010-0000-0000-000008000000}" name="Comuna"/>
    <tableColumn id="9" xr3:uid="{00000000-0010-0000-0000-000009000000}" name="CP"/>
    <tableColumn id="10" xr3:uid="{00000000-0010-0000-0000-00000A000000}" name="Cantidad"/>
    <tableColumn id="11" xr3:uid="{00000000-0010-0000-0000-00000B000000}" name="Precio_Unitario"/>
    <tableColumn id="12" xr3:uid="{00000000-0010-0000-0000-00000C000000}" name="Costo_Unitario"/>
    <tableColumn id="13" xr3:uid="{00000000-0010-0000-0000-00000D000000}" name="Ventas"/>
    <tableColumn id="14" xr3:uid="{00000000-0010-0000-0000-00000E000000}" name="Costo_Total"/>
    <tableColumn id="15" xr3:uid="{00000000-0010-0000-0000-00000F000000}" name="Margen"/>
    <tableColumn id="16" xr3:uid="{00000000-0010-0000-0000-000010000000}" name="Margen_%"/>
    <tableColumn id="17" xr3:uid="{00000000-0010-0000-0000-000011000000}" name="Medio_Pago"/>
    <tableColumn id="18" xr3:uid="{00000000-0010-0000-0000-000012000000}" name="Estad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DatosLimpios" displayName="tblDatosLimpios" ref="A1:U201">
  <autoFilter ref="A1:U201" xr:uid="{00000000-0009-0000-0100-000002000000}"/>
  <tableColumns count="21">
    <tableColumn id="1" xr3:uid="{00000000-0010-0000-0100-000001000000}" name="ID_Venta" dataDxfId="20"/>
    <tableColumn id="2" xr3:uid="{00000000-0010-0000-0100-000002000000}" name="Fecha" dataDxfId="19"/>
    <tableColumn id="3" xr3:uid="{00000000-0010-0000-0100-000003000000}" name="Cliente_Tipo" dataDxfId="18"/>
    <tableColumn id="4" xr3:uid="{00000000-0010-0000-0100-000004000000}" name="Producto" dataDxfId="17"/>
    <tableColumn id="5" xr3:uid="{00000000-0010-0000-0100-000005000000}" name="Categoría" dataDxfId="16"/>
    <tableColumn id="6" xr3:uid="{00000000-0010-0000-0100-000006000000}" name="Canal" dataDxfId="15"/>
    <tableColumn id="7" xr3:uid="{00000000-0010-0000-0100-000007000000}" name="Barrio" dataDxfId="14"/>
    <tableColumn id="8" xr3:uid="{00000000-0010-0000-0100-000008000000}" name="Comuna" dataDxfId="13"/>
    <tableColumn id="9" xr3:uid="{00000000-0010-0000-0100-000009000000}" name="CP" dataDxfId="12"/>
    <tableColumn id="10" xr3:uid="{00000000-0010-0000-0100-00000A000000}" name="Cantidad" dataDxfId="11"/>
    <tableColumn id="11" xr3:uid="{00000000-0010-0000-0100-00000B000000}" name="Precio_Unitario" dataDxfId="10"/>
    <tableColumn id="12" xr3:uid="{00000000-0010-0000-0100-00000C000000}" name="Costo_Unitario" dataDxfId="9"/>
    <tableColumn id="13" xr3:uid="{00000000-0010-0000-0100-00000D000000}" name="Ventas" dataDxfId="8"/>
    <tableColumn id="14" xr3:uid="{00000000-0010-0000-0100-00000E000000}" name="Costo_Total" dataDxfId="7"/>
    <tableColumn id="15" xr3:uid="{00000000-0010-0000-0100-00000F000000}" name="Margen" dataDxfId="6"/>
    <tableColumn id="16" xr3:uid="{00000000-0010-0000-0100-000010000000}" name="Margen_%" dataDxfId="5"/>
    <tableColumn id="17" xr3:uid="{00000000-0010-0000-0100-000011000000}" name="Medio_Pago" dataDxfId="4"/>
    <tableColumn id="18" xr3:uid="{00000000-0010-0000-0100-000012000000}" name="Estado" dataDxfId="3"/>
    <tableColumn id="19" xr3:uid="{9C3620CB-AF46-4C82-8FAB-6FDA7FA1D499}" name="Año" dataDxfId="2">
      <calculatedColumnFormula>YEAR(B2)</calculatedColumnFormula>
    </tableColumn>
    <tableColumn id="20" xr3:uid="{9AA3D03B-E4A0-4D3B-8900-C3D05E76BA55}" name="Mes" dataDxfId="1">
      <calculatedColumnFormula>TEXT(B2,"mmm")</calculatedColumnFormula>
    </tableColumn>
    <tableColumn id="21" xr3:uid="{51A925F3-3051-4B2C-B50F-B77890E105CB}" name="Año-Mes" dataDxfId="0">
      <calculatedColumnFormula>DATE(YEAR(B2),MONTH(B2),1)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01"/>
  <sheetViews>
    <sheetView showGridLines="0"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sheetData>
    <row r="1" spans="1:1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5">
      <c r="A2">
        <v>1</v>
      </c>
      <c r="B2" s="2">
        <v>45511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>
        <v>1</v>
      </c>
      <c r="K2" s="3">
        <v>24000</v>
      </c>
      <c r="L2" s="3">
        <v>9500</v>
      </c>
      <c r="M2" s="3">
        <v>24000</v>
      </c>
      <c r="N2" s="3">
        <v>9500</v>
      </c>
      <c r="O2" s="3">
        <v>14500</v>
      </c>
      <c r="P2" s="4">
        <v>0.60416666666666663</v>
      </c>
      <c r="Q2" t="s">
        <v>25</v>
      </c>
      <c r="R2" t="s">
        <v>26</v>
      </c>
    </row>
    <row r="3" spans="1:18" x14ac:dyDescent="0.25">
      <c r="A3">
        <v>2</v>
      </c>
      <c r="B3" s="2">
        <v>45870</v>
      </c>
      <c r="C3" t="s">
        <v>27</v>
      </c>
      <c r="D3" t="s">
        <v>28</v>
      </c>
      <c r="E3" t="s">
        <v>29</v>
      </c>
      <c r="F3" t="s">
        <v>21</v>
      </c>
      <c r="G3" t="s">
        <v>30</v>
      </c>
      <c r="H3" t="s">
        <v>31</v>
      </c>
      <c r="I3" t="s">
        <v>32</v>
      </c>
      <c r="J3">
        <v>3</v>
      </c>
      <c r="K3" s="3">
        <v>220000</v>
      </c>
      <c r="L3" s="3">
        <v>145000</v>
      </c>
      <c r="M3" s="3">
        <v>660000</v>
      </c>
      <c r="N3" s="3">
        <v>435000</v>
      </c>
      <c r="O3" s="3">
        <v>225000</v>
      </c>
      <c r="P3" s="4">
        <v>0.34090909090909088</v>
      </c>
      <c r="Q3" t="s">
        <v>33</v>
      </c>
      <c r="R3" t="s">
        <v>26</v>
      </c>
    </row>
    <row r="4" spans="1:18" x14ac:dyDescent="0.25">
      <c r="A4">
        <v>3</v>
      </c>
      <c r="B4" s="2">
        <v>45477</v>
      </c>
      <c r="C4" t="s">
        <v>18</v>
      </c>
      <c r="D4" t="s">
        <v>34</v>
      </c>
      <c r="E4" t="s">
        <v>35</v>
      </c>
      <c r="F4" t="s">
        <v>21</v>
      </c>
      <c r="G4" t="s">
        <v>36</v>
      </c>
      <c r="H4" t="s">
        <v>37</v>
      </c>
      <c r="I4" t="s">
        <v>38</v>
      </c>
      <c r="J4">
        <v>3</v>
      </c>
      <c r="K4" s="3">
        <v>115000</v>
      </c>
      <c r="L4" s="3">
        <v>68000</v>
      </c>
      <c r="M4" s="3">
        <v>345000</v>
      </c>
      <c r="N4" s="3">
        <v>204000</v>
      </c>
      <c r="O4" s="3">
        <v>141000</v>
      </c>
      <c r="P4" s="4">
        <v>0.40869565217391313</v>
      </c>
      <c r="Q4" t="s">
        <v>39</v>
      </c>
      <c r="R4" t="s">
        <v>26</v>
      </c>
    </row>
    <row r="5" spans="1:18" x14ac:dyDescent="0.25">
      <c r="A5">
        <v>4</v>
      </c>
      <c r="B5" s="2">
        <v>45716</v>
      </c>
      <c r="C5" t="s">
        <v>27</v>
      </c>
      <c r="D5" t="s">
        <v>40</v>
      </c>
      <c r="E5" t="s">
        <v>35</v>
      </c>
      <c r="F5" t="s">
        <v>21</v>
      </c>
      <c r="G5" t="s">
        <v>36</v>
      </c>
      <c r="H5" t="s">
        <v>37</v>
      </c>
      <c r="I5" t="s">
        <v>38</v>
      </c>
      <c r="J5">
        <v>3</v>
      </c>
      <c r="K5" s="3">
        <v>185000</v>
      </c>
      <c r="L5" s="3">
        <v>108000</v>
      </c>
      <c r="M5" s="3">
        <v>555000</v>
      </c>
      <c r="N5" s="3">
        <v>324000</v>
      </c>
      <c r="O5" s="3">
        <v>231000</v>
      </c>
      <c r="P5" s="4">
        <v>0.41621621621621618</v>
      </c>
      <c r="Q5" t="s">
        <v>41</v>
      </c>
      <c r="R5" t="s">
        <v>26</v>
      </c>
    </row>
    <row r="6" spans="1:18" x14ac:dyDescent="0.25">
      <c r="A6">
        <v>5</v>
      </c>
      <c r="B6" s="2">
        <v>45705</v>
      </c>
      <c r="C6" t="s">
        <v>27</v>
      </c>
      <c r="D6" t="s">
        <v>42</v>
      </c>
      <c r="E6" t="s">
        <v>29</v>
      </c>
      <c r="F6" t="s">
        <v>21</v>
      </c>
      <c r="G6" t="s">
        <v>43</v>
      </c>
      <c r="H6" t="s">
        <v>37</v>
      </c>
      <c r="I6" t="s">
        <v>44</v>
      </c>
      <c r="J6">
        <v>1</v>
      </c>
      <c r="K6" s="3">
        <v>780000</v>
      </c>
      <c r="L6" s="3">
        <v>590000</v>
      </c>
      <c r="M6" s="3">
        <v>780000</v>
      </c>
      <c r="N6" s="3">
        <v>590000</v>
      </c>
      <c r="O6" s="3">
        <v>190000</v>
      </c>
      <c r="P6" s="4">
        <v>0.24358974358974361</v>
      </c>
      <c r="Q6" t="s">
        <v>33</v>
      </c>
      <c r="R6" t="s">
        <v>26</v>
      </c>
    </row>
    <row r="7" spans="1:18" x14ac:dyDescent="0.25">
      <c r="A7">
        <v>6</v>
      </c>
      <c r="B7" s="2">
        <v>45726</v>
      </c>
      <c r="C7" t="s">
        <v>18</v>
      </c>
      <c r="D7" t="s">
        <v>42</v>
      </c>
      <c r="E7" t="s">
        <v>29</v>
      </c>
      <c r="F7" t="s">
        <v>45</v>
      </c>
      <c r="G7" t="s">
        <v>46</v>
      </c>
      <c r="H7" t="s">
        <v>47</v>
      </c>
      <c r="I7" t="s">
        <v>48</v>
      </c>
      <c r="J7">
        <v>2</v>
      </c>
      <c r="K7" s="3">
        <v>780000</v>
      </c>
      <c r="L7" s="3">
        <v>590000</v>
      </c>
      <c r="M7" s="3">
        <v>1560000</v>
      </c>
      <c r="N7" s="3">
        <v>1180000</v>
      </c>
      <c r="O7" s="3">
        <v>380000</v>
      </c>
      <c r="P7" s="4">
        <v>0.24358974358974361</v>
      </c>
      <c r="Q7" t="s">
        <v>41</v>
      </c>
      <c r="R7" t="s">
        <v>26</v>
      </c>
    </row>
    <row r="8" spans="1:18" x14ac:dyDescent="0.25">
      <c r="A8">
        <v>7</v>
      </c>
      <c r="B8" s="2">
        <v>45798</v>
      </c>
      <c r="C8" t="s">
        <v>27</v>
      </c>
      <c r="D8" t="s">
        <v>49</v>
      </c>
      <c r="E8" t="s">
        <v>20</v>
      </c>
      <c r="F8" t="s">
        <v>21</v>
      </c>
      <c r="G8" t="s">
        <v>22</v>
      </c>
      <c r="H8" t="s">
        <v>23</v>
      </c>
      <c r="I8" t="s">
        <v>24</v>
      </c>
      <c r="J8">
        <v>1</v>
      </c>
      <c r="K8" s="3">
        <v>45000</v>
      </c>
      <c r="L8" s="3">
        <v>21000</v>
      </c>
      <c r="M8" s="3">
        <v>45000</v>
      </c>
      <c r="N8" s="3">
        <v>21000</v>
      </c>
      <c r="O8" s="3">
        <v>24000</v>
      </c>
      <c r="P8" s="4">
        <v>0.53333333333333333</v>
      </c>
      <c r="Q8" t="s">
        <v>41</v>
      </c>
      <c r="R8" t="s">
        <v>26</v>
      </c>
    </row>
    <row r="9" spans="1:18" x14ac:dyDescent="0.25">
      <c r="A9">
        <v>8</v>
      </c>
      <c r="B9" s="2">
        <v>45310</v>
      </c>
      <c r="C9" t="s">
        <v>27</v>
      </c>
      <c r="D9" t="s">
        <v>19</v>
      </c>
      <c r="E9" t="s">
        <v>20</v>
      </c>
      <c r="F9" t="s">
        <v>45</v>
      </c>
      <c r="G9" t="s">
        <v>46</v>
      </c>
      <c r="H9" t="s">
        <v>47</v>
      </c>
      <c r="I9" t="s">
        <v>48</v>
      </c>
      <c r="J9">
        <v>4</v>
      </c>
      <c r="K9" s="3">
        <v>24000</v>
      </c>
      <c r="L9" s="3">
        <v>9500</v>
      </c>
      <c r="M9" s="3">
        <v>96000</v>
      </c>
      <c r="N9" s="3">
        <v>38000</v>
      </c>
      <c r="O9" s="3">
        <v>58000</v>
      </c>
      <c r="P9" s="4">
        <v>0.60416666666666663</v>
      </c>
      <c r="Q9" t="s">
        <v>25</v>
      </c>
      <c r="R9" t="s">
        <v>26</v>
      </c>
    </row>
    <row r="10" spans="1:18" x14ac:dyDescent="0.25">
      <c r="A10">
        <v>9</v>
      </c>
      <c r="B10" s="2">
        <v>45419</v>
      </c>
      <c r="C10" t="s">
        <v>27</v>
      </c>
      <c r="D10" t="s">
        <v>42</v>
      </c>
      <c r="E10" t="s">
        <v>29</v>
      </c>
      <c r="F10" t="s">
        <v>21</v>
      </c>
      <c r="G10" t="s">
        <v>43</v>
      </c>
      <c r="H10" t="s">
        <v>37</v>
      </c>
      <c r="I10" t="s">
        <v>44</v>
      </c>
      <c r="J10">
        <v>2</v>
      </c>
      <c r="K10" s="3">
        <v>780000</v>
      </c>
      <c r="L10" s="3">
        <v>590000</v>
      </c>
      <c r="M10" s="3">
        <v>1560000</v>
      </c>
      <c r="N10" s="3">
        <v>1180000</v>
      </c>
      <c r="O10" s="3">
        <v>380000</v>
      </c>
      <c r="P10" s="4">
        <v>0.24358974358974361</v>
      </c>
      <c r="Q10" t="s">
        <v>33</v>
      </c>
      <c r="R10" t="s">
        <v>26</v>
      </c>
    </row>
    <row r="11" spans="1:18" x14ac:dyDescent="0.25">
      <c r="A11">
        <v>10</v>
      </c>
      <c r="B11" s="2">
        <v>45674</v>
      </c>
      <c r="C11" t="s">
        <v>27</v>
      </c>
      <c r="D11" t="s">
        <v>50</v>
      </c>
      <c r="E11" t="s">
        <v>51</v>
      </c>
      <c r="F11" t="s">
        <v>45</v>
      </c>
      <c r="G11" t="s">
        <v>52</v>
      </c>
      <c r="H11" t="s">
        <v>53</v>
      </c>
      <c r="I11" t="s">
        <v>54</v>
      </c>
      <c r="J11">
        <v>2</v>
      </c>
      <c r="K11" s="3">
        <v>310000</v>
      </c>
      <c r="L11" s="3">
        <v>210000</v>
      </c>
      <c r="M11" s="3">
        <v>620000</v>
      </c>
      <c r="N11" s="3">
        <v>420000</v>
      </c>
      <c r="O11" s="3">
        <v>200000</v>
      </c>
      <c r="P11" s="4">
        <v>0.32258064516129031</v>
      </c>
      <c r="Q11" t="s">
        <v>25</v>
      </c>
      <c r="R11" t="s">
        <v>26</v>
      </c>
    </row>
    <row r="12" spans="1:18" x14ac:dyDescent="0.25">
      <c r="A12">
        <v>11</v>
      </c>
      <c r="B12" s="2">
        <v>45798</v>
      </c>
      <c r="C12" t="s">
        <v>18</v>
      </c>
      <c r="D12" t="s">
        <v>55</v>
      </c>
      <c r="E12" t="s">
        <v>51</v>
      </c>
      <c r="F12" t="s">
        <v>45</v>
      </c>
      <c r="G12" t="s">
        <v>46</v>
      </c>
      <c r="H12" t="s">
        <v>47</v>
      </c>
      <c r="I12" t="s">
        <v>48</v>
      </c>
      <c r="J12">
        <v>3</v>
      </c>
      <c r="K12" s="3">
        <v>520000</v>
      </c>
      <c r="L12" s="3">
        <v>365000</v>
      </c>
      <c r="M12" s="3">
        <v>1560000</v>
      </c>
      <c r="N12" s="3">
        <v>1095000</v>
      </c>
      <c r="O12" s="3">
        <v>465000</v>
      </c>
      <c r="P12" s="4">
        <v>0.29807692307692307</v>
      </c>
      <c r="Q12" t="s">
        <v>41</v>
      </c>
      <c r="R12" t="s">
        <v>26</v>
      </c>
    </row>
    <row r="13" spans="1:18" x14ac:dyDescent="0.25">
      <c r="A13">
        <v>12</v>
      </c>
      <c r="B13" s="2">
        <v>45655</v>
      </c>
      <c r="C13" t="s">
        <v>18</v>
      </c>
      <c r="D13" t="s">
        <v>49</v>
      </c>
      <c r="E13" t="s">
        <v>20</v>
      </c>
      <c r="F13" t="s">
        <v>45</v>
      </c>
      <c r="G13" t="s">
        <v>43</v>
      </c>
      <c r="H13" t="s">
        <v>37</v>
      </c>
      <c r="I13" t="s">
        <v>44</v>
      </c>
      <c r="J13">
        <v>4</v>
      </c>
      <c r="K13" s="3">
        <v>45000</v>
      </c>
      <c r="L13" s="3">
        <v>21000</v>
      </c>
      <c r="M13" s="3">
        <v>180000</v>
      </c>
      <c r="N13" s="3">
        <v>84000</v>
      </c>
      <c r="O13" s="3">
        <v>96000</v>
      </c>
      <c r="P13" s="4">
        <v>0.53333333333333333</v>
      </c>
      <c r="Q13" t="s">
        <v>25</v>
      </c>
      <c r="R13" t="s">
        <v>26</v>
      </c>
    </row>
    <row r="14" spans="1:18" x14ac:dyDescent="0.25">
      <c r="A14">
        <v>13</v>
      </c>
      <c r="B14" s="2">
        <v>45877</v>
      </c>
      <c r="C14" t="s">
        <v>27</v>
      </c>
      <c r="D14" t="s">
        <v>28</v>
      </c>
      <c r="E14" t="s">
        <v>29</v>
      </c>
      <c r="F14" t="s">
        <v>45</v>
      </c>
      <c r="G14" t="s">
        <v>56</v>
      </c>
      <c r="H14" t="s">
        <v>57</v>
      </c>
      <c r="I14" t="s">
        <v>58</v>
      </c>
      <c r="J14">
        <v>2</v>
      </c>
      <c r="K14" s="3">
        <v>220000</v>
      </c>
      <c r="L14" s="3">
        <v>145000</v>
      </c>
      <c r="M14" s="3">
        <v>440000</v>
      </c>
      <c r="N14" s="3">
        <v>290000</v>
      </c>
      <c r="O14" s="3">
        <v>150000</v>
      </c>
      <c r="P14" s="4">
        <v>0.34090909090909088</v>
      </c>
      <c r="Q14" t="s">
        <v>39</v>
      </c>
      <c r="R14" t="s">
        <v>26</v>
      </c>
    </row>
    <row r="15" spans="1:18" x14ac:dyDescent="0.25">
      <c r="A15">
        <v>14</v>
      </c>
      <c r="B15" s="2">
        <v>45355</v>
      </c>
      <c r="C15" t="s">
        <v>27</v>
      </c>
      <c r="D15" t="s">
        <v>55</v>
      </c>
      <c r="E15" t="s">
        <v>51</v>
      </c>
      <c r="F15" t="s">
        <v>45</v>
      </c>
      <c r="G15" t="s">
        <v>59</v>
      </c>
      <c r="H15" t="s">
        <v>31</v>
      </c>
      <c r="I15" t="s">
        <v>60</v>
      </c>
      <c r="J15">
        <v>1</v>
      </c>
      <c r="K15" s="3">
        <v>520000</v>
      </c>
      <c r="L15" s="3">
        <v>365000</v>
      </c>
      <c r="M15" s="3">
        <v>520000</v>
      </c>
      <c r="N15" s="3">
        <v>365000</v>
      </c>
      <c r="O15" s="3">
        <v>155000</v>
      </c>
      <c r="P15" s="4">
        <v>0.29807692307692307</v>
      </c>
      <c r="Q15" t="s">
        <v>33</v>
      </c>
      <c r="R15" t="s">
        <v>26</v>
      </c>
    </row>
    <row r="16" spans="1:18" x14ac:dyDescent="0.25">
      <c r="A16">
        <v>15</v>
      </c>
      <c r="B16" s="2">
        <v>45372</v>
      </c>
      <c r="C16" t="s">
        <v>18</v>
      </c>
      <c r="D16" t="s">
        <v>40</v>
      </c>
      <c r="E16" t="s">
        <v>35</v>
      </c>
      <c r="F16" t="s">
        <v>21</v>
      </c>
      <c r="G16" t="s">
        <v>43</v>
      </c>
      <c r="H16" t="s">
        <v>37</v>
      </c>
      <c r="I16" t="s">
        <v>44</v>
      </c>
      <c r="J16">
        <v>3</v>
      </c>
      <c r="K16" s="3">
        <v>185000</v>
      </c>
      <c r="L16" s="3">
        <v>108000</v>
      </c>
      <c r="M16" s="3">
        <v>555000</v>
      </c>
      <c r="N16" s="3">
        <v>324000</v>
      </c>
      <c r="O16" s="3">
        <v>231000</v>
      </c>
      <c r="P16" s="4">
        <v>0.41621621621621618</v>
      </c>
      <c r="Q16" t="s">
        <v>25</v>
      </c>
      <c r="R16" t="s">
        <v>26</v>
      </c>
    </row>
    <row r="17" spans="1:18" x14ac:dyDescent="0.25">
      <c r="A17">
        <v>16</v>
      </c>
      <c r="B17" s="2">
        <v>45387</v>
      </c>
      <c r="C17" t="s">
        <v>27</v>
      </c>
      <c r="D17" t="s">
        <v>61</v>
      </c>
      <c r="E17" t="s">
        <v>29</v>
      </c>
      <c r="F17" t="s">
        <v>21</v>
      </c>
      <c r="G17" t="s">
        <v>43</v>
      </c>
      <c r="H17" t="s">
        <v>37</v>
      </c>
      <c r="I17" t="s">
        <v>44</v>
      </c>
      <c r="J17">
        <v>3</v>
      </c>
      <c r="K17" s="3">
        <v>390000</v>
      </c>
      <c r="L17" s="3">
        <v>270000</v>
      </c>
      <c r="M17" s="3">
        <v>1170000</v>
      </c>
      <c r="N17" s="3">
        <v>810000</v>
      </c>
      <c r="O17" s="3">
        <v>360000</v>
      </c>
      <c r="P17" s="4">
        <v>0.30769230769230771</v>
      </c>
      <c r="Q17" t="s">
        <v>39</v>
      </c>
      <c r="R17" t="s">
        <v>26</v>
      </c>
    </row>
    <row r="18" spans="1:18" x14ac:dyDescent="0.25">
      <c r="A18">
        <v>17</v>
      </c>
      <c r="B18" s="2">
        <v>45626</v>
      </c>
      <c r="C18" t="s">
        <v>27</v>
      </c>
      <c r="D18" t="s">
        <v>42</v>
      </c>
      <c r="E18" t="s">
        <v>29</v>
      </c>
      <c r="F18" t="s">
        <v>45</v>
      </c>
      <c r="G18" t="s">
        <v>59</v>
      </c>
      <c r="H18" t="s">
        <v>31</v>
      </c>
      <c r="I18" t="s">
        <v>60</v>
      </c>
      <c r="J18">
        <v>1</v>
      </c>
      <c r="K18" s="3">
        <v>780000</v>
      </c>
      <c r="L18" s="3">
        <v>590000</v>
      </c>
      <c r="M18" s="3">
        <v>780000</v>
      </c>
      <c r="N18" s="3">
        <v>590000</v>
      </c>
      <c r="O18" s="3">
        <v>190000</v>
      </c>
      <c r="P18" s="4">
        <v>0.24358974358974361</v>
      </c>
      <c r="Q18" t="s">
        <v>39</v>
      </c>
      <c r="R18" t="s">
        <v>26</v>
      </c>
    </row>
    <row r="19" spans="1:18" x14ac:dyDescent="0.25">
      <c r="A19">
        <v>18</v>
      </c>
      <c r="B19" s="2">
        <v>45591</v>
      </c>
      <c r="C19" t="s">
        <v>18</v>
      </c>
      <c r="D19" t="s">
        <v>42</v>
      </c>
      <c r="E19" t="s">
        <v>29</v>
      </c>
      <c r="F19" t="s">
        <v>45</v>
      </c>
      <c r="G19" t="s">
        <v>56</v>
      </c>
      <c r="H19" t="s">
        <v>57</v>
      </c>
      <c r="I19" t="s">
        <v>58</v>
      </c>
      <c r="J19">
        <v>1</v>
      </c>
      <c r="K19" s="3">
        <v>780000</v>
      </c>
      <c r="L19" s="3">
        <v>590000</v>
      </c>
      <c r="M19" s="3">
        <v>780000</v>
      </c>
      <c r="N19" s="3">
        <v>590000</v>
      </c>
      <c r="O19" s="3">
        <v>190000</v>
      </c>
      <c r="P19" s="4">
        <v>0.24358974358974361</v>
      </c>
      <c r="Q19" t="s">
        <v>25</v>
      </c>
      <c r="R19" t="s">
        <v>26</v>
      </c>
    </row>
    <row r="20" spans="1:18" x14ac:dyDescent="0.25">
      <c r="A20">
        <v>19</v>
      </c>
      <c r="B20" s="2">
        <v>45572</v>
      </c>
      <c r="C20" t="s">
        <v>27</v>
      </c>
      <c r="D20" t="s">
        <v>55</v>
      </c>
      <c r="E20" t="s">
        <v>51</v>
      </c>
      <c r="F20" t="s">
        <v>45</v>
      </c>
      <c r="G20" t="s">
        <v>56</v>
      </c>
      <c r="H20" t="s">
        <v>57</v>
      </c>
      <c r="I20" t="s">
        <v>58</v>
      </c>
      <c r="J20">
        <v>3</v>
      </c>
      <c r="K20" s="3">
        <v>520000</v>
      </c>
      <c r="L20" s="3">
        <v>365000</v>
      </c>
      <c r="M20" s="3">
        <v>1560000</v>
      </c>
      <c r="N20" s="3">
        <v>1095000</v>
      </c>
      <c r="O20" s="3">
        <v>465000</v>
      </c>
      <c r="P20" s="4">
        <v>0.29807692307692307</v>
      </c>
      <c r="Q20" t="s">
        <v>41</v>
      </c>
      <c r="R20" t="s">
        <v>26</v>
      </c>
    </row>
    <row r="21" spans="1:18" x14ac:dyDescent="0.25">
      <c r="A21">
        <v>20</v>
      </c>
      <c r="B21" s="2">
        <v>45294</v>
      </c>
      <c r="C21" t="s">
        <v>27</v>
      </c>
      <c r="D21" t="s">
        <v>28</v>
      </c>
      <c r="E21" t="s">
        <v>29</v>
      </c>
      <c r="F21" t="s">
        <v>21</v>
      </c>
      <c r="G21" t="s">
        <v>22</v>
      </c>
      <c r="H21" t="s">
        <v>23</v>
      </c>
      <c r="I21" t="s">
        <v>24</v>
      </c>
      <c r="J21">
        <v>3</v>
      </c>
      <c r="K21" s="3">
        <v>220000</v>
      </c>
      <c r="L21" s="3">
        <v>145000</v>
      </c>
      <c r="M21" s="3">
        <v>660000</v>
      </c>
      <c r="N21" s="3">
        <v>435000</v>
      </c>
      <c r="O21" s="3">
        <v>225000</v>
      </c>
      <c r="P21" s="4">
        <v>0.34090909090909088</v>
      </c>
      <c r="Q21" t="s">
        <v>25</v>
      </c>
      <c r="R21" t="s">
        <v>26</v>
      </c>
    </row>
    <row r="22" spans="1:18" x14ac:dyDescent="0.25">
      <c r="A22">
        <v>21</v>
      </c>
      <c r="B22" s="2">
        <v>45533</v>
      </c>
      <c r="C22" t="s">
        <v>18</v>
      </c>
      <c r="D22" t="s">
        <v>49</v>
      </c>
      <c r="E22" t="s">
        <v>20</v>
      </c>
      <c r="F22" t="s">
        <v>45</v>
      </c>
      <c r="G22" t="s">
        <v>46</v>
      </c>
      <c r="H22" t="s">
        <v>47</v>
      </c>
      <c r="I22" t="s">
        <v>48</v>
      </c>
      <c r="J22">
        <v>1</v>
      </c>
      <c r="K22" s="3">
        <v>45000</v>
      </c>
      <c r="L22" s="3">
        <v>21000</v>
      </c>
      <c r="M22" s="3">
        <v>45000</v>
      </c>
      <c r="N22" s="3">
        <v>21000</v>
      </c>
      <c r="O22" s="3">
        <v>24000</v>
      </c>
      <c r="P22" s="4">
        <v>0.53333333333333333</v>
      </c>
      <c r="Q22" t="s">
        <v>39</v>
      </c>
      <c r="R22" t="s">
        <v>26</v>
      </c>
    </row>
    <row r="23" spans="1:18" x14ac:dyDescent="0.25">
      <c r="A23">
        <v>22</v>
      </c>
      <c r="B23" s="2">
        <v>45613</v>
      </c>
      <c r="C23" t="s">
        <v>27</v>
      </c>
      <c r="D23" t="s">
        <v>55</v>
      </c>
      <c r="E23" t="s">
        <v>51</v>
      </c>
      <c r="F23" t="s">
        <v>45</v>
      </c>
      <c r="G23" t="s">
        <v>22</v>
      </c>
      <c r="H23" t="s">
        <v>23</v>
      </c>
      <c r="I23" t="s">
        <v>24</v>
      </c>
      <c r="J23">
        <v>4</v>
      </c>
      <c r="K23" s="3">
        <v>520000</v>
      </c>
      <c r="L23" s="3">
        <v>365000</v>
      </c>
      <c r="M23" s="3">
        <v>2080000</v>
      </c>
      <c r="N23" s="3">
        <v>1460000</v>
      </c>
      <c r="O23" s="3">
        <v>620000</v>
      </c>
      <c r="P23" s="4">
        <v>0.29807692307692307</v>
      </c>
      <c r="Q23" t="s">
        <v>41</v>
      </c>
      <c r="R23" t="s">
        <v>26</v>
      </c>
    </row>
    <row r="24" spans="1:18" x14ac:dyDescent="0.25">
      <c r="A24">
        <v>23</v>
      </c>
      <c r="B24" s="2">
        <v>45345</v>
      </c>
      <c r="C24" t="s">
        <v>27</v>
      </c>
      <c r="D24" t="s">
        <v>42</v>
      </c>
      <c r="E24" t="s">
        <v>29</v>
      </c>
      <c r="F24" t="s">
        <v>45</v>
      </c>
      <c r="G24" t="s">
        <v>43</v>
      </c>
      <c r="H24" t="s">
        <v>37</v>
      </c>
      <c r="I24" t="s">
        <v>44</v>
      </c>
      <c r="J24">
        <v>2</v>
      </c>
      <c r="K24" s="3">
        <v>780000</v>
      </c>
      <c r="L24" s="3">
        <v>590000</v>
      </c>
      <c r="M24" s="3">
        <v>1560000</v>
      </c>
      <c r="N24" s="3">
        <v>1180000</v>
      </c>
      <c r="O24" s="3">
        <v>380000</v>
      </c>
      <c r="P24" s="4">
        <v>0.24358974358974361</v>
      </c>
      <c r="Q24" t="s">
        <v>39</v>
      </c>
      <c r="R24" t="s">
        <v>26</v>
      </c>
    </row>
    <row r="25" spans="1:18" x14ac:dyDescent="0.25">
      <c r="A25">
        <v>24</v>
      </c>
      <c r="B25" s="2">
        <v>45978</v>
      </c>
      <c r="C25" t="s">
        <v>18</v>
      </c>
      <c r="D25" t="s">
        <v>61</v>
      </c>
      <c r="E25" t="s">
        <v>29</v>
      </c>
      <c r="F25" t="s">
        <v>45</v>
      </c>
      <c r="G25" t="s">
        <v>43</v>
      </c>
      <c r="H25" t="s">
        <v>37</v>
      </c>
      <c r="I25" t="s">
        <v>44</v>
      </c>
      <c r="J25">
        <v>2</v>
      </c>
      <c r="K25" s="3">
        <v>390000</v>
      </c>
      <c r="L25" s="3">
        <v>270000</v>
      </c>
      <c r="M25" s="3">
        <v>780000</v>
      </c>
      <c r="N25" s="3">
        <v>540000</v>
      </c>
      <c r="O25" s="3">
        <v>240000</v>
      </c>
      <c r="P25" s="4">
        <v>0.30769230769230771</v>
      </c>
      <c r="Q25" t="s">
        <v>39</v>
      </c>
      <c r="R25" t="s">
        <v>26</v>
      </c>
    </row>
    <row r="26" spans="1:18" x14ac:dyDescent="0.25">
      <c r="A26">
        <v>25</v>
      </c>
      <c r="B26" s="2">
        <v>45401</v>
      </c>
      <c r="C26" t="s">
        <v>27</v>
      </c>
      <c r="D26" t="s">
        <v>42</v>
      </c>
      <c r="E26" t="s">
        <v>29</v>
      </c>
      <c r="F26" t="s">
        <v>21</v>
      </c>
      <c r="G26" t="s">
        <v>43</v>
      </c>
      <c r="H26" t="s">
        <v>37</v>
      </c>
      <c r="I26" t="s">
        <v>44</v>
      </c>
      <c r="J26">
        <v>3</v>
      </c>
      <c r="K26" s="3">
        <v>780000</v>
      </c>
      <c r="L26" s="3">
        <v>590000</v>
      </c>
      <c r="M26" s="3">
        <v>2340000</v>
      </c>
      <c r="N26" s="3">
        <v>1770000</v>
      </c>
      <c r="O26" s="3">
        <v>570000</v>
      </c>
      <c r="P26" s="4">
        <v>0.24358974358974361</v>
      </c>
      <c r="Q26" t="s">
        <v>41</v>
      </c>
      <c r="R26" t="s">
        <v>26</v>
      </c>
    </row>
    <row r="27" spans="1:18" x14ac:dyDescent="0.25">
      <c r="A27">
        <v>26</v>
      </c>
      <c r="B27" s="2">
        <v>45378</v>
      </c>
      <c r="C27" t="s">
        <v>27</v>
      </c>
      <c r="D27" t="s">
        <v>28</v>
      </c>
      <c r="E27" t="s">
        <v>29</v>
      </c>
      <c r="F27" t="s">
        <v>45</v>
      </c>
      <c r="G27" t="s">
        <v>52</v>
      </c>
      <c r="H27" t="s">
        <v>53</v>
      </c>
      <c r="I27" t="s">
        <v>54</v>
      </c>
      <c r="J27">
        <v>1</v>
      </c>
      <c r="K27" s="3">
        <v>220000</v>
      </c>
      <c r="L27" s="3">
        <v>145000</v>
      </c>
      <c r="M27" s="3">
        <v>220000</v>
      </c>
      <c r="N27" s="3">
        <v>145000</v>
      </c>
      <c r="O27" s="3">
        <v>75000</v>
      </c>
      <c r="P27" s="4">
        <v>0.34090909090909088</v>
      </c>
      <c r="Q27" t="s">
        <v>33</v>
      </c>
      <c r="R27" t="s">
        <v>26</v>
      </c>
    </row>
    <row r="28" spans="1:18" x14ac:dyDescent="0.25">
      <c r="A28">
        <v>27</v>
      </c>
      <c r="B28" s="2">
        <v>45984</v>
      </c>
      <c r="C28" t="s">
        <v>18</v>
      </c>
      <c r="D28" t="s">
        <v>19</v>
      </c>
      <c r="E28" t="s">
        <v>20</v>
      </c>
      <c r="F28" t="s">
        <v>45</v>
      </c>
      <c r="G28" t="s">
        <v>59</v>
      </c>
      <c r="H28" t="s">
        <v>31</v>
      </c>
      <c r="I28" t="s">
        <v>60</v>
      </c>
      <c r="J28">
        <v>3</v>
      </c>
      <c r="K28" s="3">
        <v>24000</v>
      </c>
      <c r="L28" s="3">
        <v>9500</v>
      </c>
      <c r="M28" s="3">
        <v>72000</v>
      </c>
      <c r="N28" s="3">
        <v>28500</v>
      </c>
      <c r="O28" s="3">
        <v>43500</v>
      </c>
      <c r="P28" s="4">
        <v>0.60416666666666663</v>
      </c>
      <c r="Q28" t="s">
        <v>39</v>
      </c>
      <c r="R28" t="s">
        <v>26</v>
      </c>
    </row>
    <row r="29" spans="1:18" x14ac:dyDescent="0.25">
      <c r="A29">
        <v>28</v>
      </c>
      <c r="B29" s="2">
        <v>45606</v>
      </c>
      <c r="C29" t="s">
        <v>27</v>
      </c>
      <c r="D29" t="s">
        <v>28</v>
      </c>
      <c r="E29" t="s">
        <v>29</v>
      </c>
      <c r="F29" t="s">
        <v>21</v>
      </c>
      <c r="G29" t="s">
        <v>52</v>
      </c>
      <c r="H29" t="s">
        <v>53</v>
      </c>
      <c r="I29" t="s">
        <v>54</v>
      </c>
      <c r="J29">
        <v>1</v>
      </c>
      <c r="K29" s="3">
        <v>220000</v>
      </c>
      <c r="L29" s="3">
        <v>145000</v>
      </c>
      <c r="M29" s="3">
        <v>220000</v>
      </c>
      <c r="N29" s="3">
        <v>145000</v>
      </c>
      <c r="O29" s="3">
        <v>75000</v>
      </c>
      <c r="P29" s="4">
        <v>0.34090909090909088</v>
      </c>
      <c r="Q29" t="s">
        <v>41</v>
      </c>
      <c r="R29" t="s">
        <v>26</v>
      </c>
    </row>
    <row r="30" spans="1:18" x14ac:dyDescent="0.25">
      <c r="A30">
        <v>29</v>
      </c>
      <c r="B30" s="2">
        <v>45359</v>
      </c>
      <c r="C30" t="s">
        <v>18</v>
      </c>
      <c r="D30" t="s">
        <v>42</v>
      </c>
      <c r="E30" t="s">
        <v>29</v>
      </c>
      <c r="F30" t="s">
        <v>21</v>
      </c>
      <c r="G30" t="s">
        <v>52</v>
      </c>
      <c r="H30" t="s">
        <v>53</v>
      </c>
      <c r="I30" t="s">
        <v>54</v>
      </c>
      <c r="J30">
        <v>4</v>
      </c>
      <c r="K30" s="3">
        <v>780000</v>
      </c>
      <c r="L30" s="3">
        <v>590000</v>
      </c>
      <c r="M30" s="3">
        <v>3120000</v>
      </c>
      <c r="N30" s="3">
        <v>2360000</v>
      </c>
      <c r="O30" s="3">
        <v>760000</v>
      </c>
      <c r="P30" s="4">
        <v>0.24358974358974361</v>
      </c>
      <c r="Q30" t="s">
        <v>33</v>
      </c>
      <c r="R30" t="s">
        <v>26</v>
      </c>
    </row>
    <row r="31" spans="1:18" x14ac:dyDescent="0.25">
      <c r="A31">
        <v>30</v>
      </c>
      <c r="B31" s="2">
        <v>45580</v>
      </c>
      <c r="C31" t="s">
        <v>18</v>
      </c>
      <c r="D31" t="s">
        <v>34</v>
      </c>
      <c r="E31" t="s">
        <v>35</v>
      </c>
      <c r="F31" t="s">
        <v>21</v>
      </c>
      <c r="G31" t="s">
        <v>46</v>
      </c>
      <c r="H31" t="s">
        <v>47</v>
      </c>
      <c r="I31" t="s">
        <v>48</v>
      </c>
      <c r="J31">
        <v>2</v>
      </c>
      <c r="K31" s="3">
        <v>115000</v>
      </c>
      <c r="L31" s="3">
        <v>68000</v>
      </c>
      <c r="M31" s="3">
        <v>230000</v>
      </c>
      <c r="N31" s="3">
        <v>136000</v>
      </c>
      <c r="O31" s="3">
        <v>94000</v>
      </c>
      <c r="P31" s="4">
        <v>0.40869565217391313</v>
      </c>
      <c r="Q31" t="s">
        <v>39</v>
      </c>
      <c r="R31" t="s">
        <v>26</v>
      </c>
    </row>
    <row r="32" spans="1:18" x14ac:dyDescent="0.25">
      <c r="A32">
        <v>31</v>
      </c>
      <c r="B32" s="2">
        <v>45433</v>
      </c>
      <c r="C32" t="s">
        <v>27</v>
      </c>
      <c r="D32" t="s">
        <v>49</v>
      </c>
      <c r="E32" t="s">
        <v>20</v>
      </c>
      <c r="F32" t="s">
        <v>45</v>
      </c>
      <c r="G32" t="s">
        <v>22</v>
      </c>
      <c r="H32" t="s">
        <v>23</v>
      </c>
      <c r="I32" t="s">
        <v>24</v>
      </c>
      <c r="J32">
        <v>4</v>
      </c>
      <c r="K32" s="3">
        <v>45000</v>
      </c>
      <c r="L32" s="3">
        <v>21000</v>
      </c>
      <c r="M32" s="3">
        <v>180000</v>
      </c>
      <c r="N32" s="3">
        <v>84000</v>
      </c>
      <c r="O32" s="3">
        <v>96000</v>
      </c>
      <c r="P32" s="4">
        <v>0.53333333333333333</v>
      </c>
      <c r="Q32" t="s">
        <v>33</v>
      </c>
      <c r="R32" t="s">
        <v>26</v>
      </c>
    </row>
    <row r="33" spans="1:18" x14ac:dyDescent="0.25">
      <c r="A33">
        <v>32</v>
      </c>
      <c r="B33" s="2">
        <v>45331</v>
      </c>
      <c r="C33" t="s">
        <v>18</v>
      </c>
      <c r="D33" t="s">
        <v>61</v>
      </c>
      <c r="E33" t="s">
        <v>29</v>
      </c>
      <c r="F33" t="s">
        <v>21</v>
      </c>
      <c r="G33" t="s">
        <v>36</v>
      </c>
      <c r="H33" t="s">
        <v>37</v>
      </c>
      <c r="I33" t="s">
        <v>38</v>
      </c>
      <c r="J33">
        <v>4</v>
      </c>
      <c r="K33" s="3">
        <v>390000</v>
      </c>
      <c r="L33" s="3">
        <v>270000</v>
      </c>
      <c r="M33" s="3">
        <v>1560000</v>
      </c>
      <c r="N33" s="3">
        <v>1080000</v>
      </c>
      <c r="O33" s="3">
        <v>480000</v>
      </c>
      <c r="P33" s="4">
        <v>0.30769230769230771</v>
      </c>
      <c r="Q33" t="s">
        <v>33</v>
      </c>
      <c r="R33" t="s">
        <v>26</v>
      </c>
    </row>
    <row r="34" spans="1:18" x14ac:dyDescent="0.25">
      <c r="A34">
        <v>33</v>
      </c>
      <c r="B34" s="2">
        <v>45728</v>
      </c>
      <c r="C34" t="s">
        <v>18</v>
      </c>
      <c r="D34" t="s">
        <v>62</v>
      </c>
      <c r="E34" t="s">
        <v>20</v>
      </c>
      <c r="F34" t="s">
        <v>21</v>
      </c>
      <c r="G34" t="s">
        <v>46</v>
      </c>
      <c r="H34" t="s">
        <v>47</v>
      </c>
      <c r="I34" t="s">
        <v>48</v>
      </c>
      <c r="J34">
        <v>3</v>
      </c>
      <c r="K34" s="3">
        <v>28000</v>
      </c>
      <c r="L34" s="3">
        <v>11000</v>
      </c>
      <c r="M34" s="3">
        <v>84000</v>
      </c>
      <c r="N34" s="3">
        <v>33000</v>
      </c>
      <c r="O34" s="3">
        <v>51000</v>
      </c>
      <c r="P34" s="4">
        <v>0.6071428571428571</v>
      </c>
      <c r="Q34" t="s">
        <v>33</v>
      </c>
      <c r="R34" t="s">
        <v>26</v>
      </c>
    </row>
    <row r="35" spans="1:18" x14ac:dyDescent="0.25">
      <c r="A35">
        <v>34</v>
      </c>
      <c r="B35" s="2">
        <v>45340</v>
      </c>
      <c r="C35" t="s">
        <v>27</v>
      </c>
      <c r="D35" t="s">
        <v>62</v>
      </c>
      <c r="E35" t="s">
        <v>20</v>
      </c>
      <c r="F35" t="s">
        <v>21</v>
      </c>
      <c r="G35" t="s">
        <v>56</v>
      </c>
      <c r="H35" t="s">
        <v>57</v>
      </c>
      <c r="I35" t="s">
        <v>58</v>
      </c>
      <c r="J35">
        <v>4</v>
      </c>
      <c r="K35" s="3">
        <v>28000</v>
      </c>
      <c r="L35" s="3">
        <v>11000</v>
      </c>
      <c r="M35" s="3">
        <v>112000</v>
      </c>
      <c r="N35" s="3">
        <v>44000</v>
      </c>
      <c r="O35" s="3">
        <v>68000</v>
      </c>
      <c r="P35" s="4">
        <v>0.6071428571428571</v>
      </c>
      <c r="Q35" t="s">
        <v>41</v>
      </c>
      <c r="R35" t="s">
        <v>26</v>
      </c>
    </row>
    <row r="36" spans="1:18" x14ac:dyDescent="0.25">
      <c r="A36">
        <v>35</v>
      </c>
      <c r="B36" s="2">
        <v>45962</v>
      </c>
      <c r="C36" t="s">
        <v>18</v>
      </c>
      <c r="D36" t="s">
        <v>55</v>
      </c>
      <c r="E36" t="s">
        <v>51</v>
      </c>
      <c r="F36" t="s">
        <v>45</v>
      </c>
      <c r="G36" t="s">
        <v>56</v>
      </c>
      <c r="H36" t="s">
        <v>57</v>
      </c>
      <c r="I36" t="s">
        <v>58</v>
      </c>
      <c r="J36">
        <v>2</v>
      </c>
      <c r="K36" s="3">
        <v>520000</v>
      </c>
      <c r="L36" s="3">
        <v>365000</v>
      </c>
      <c r="M36" s="3">
        <v>1040000</v>
      </c>
      <c r="N36" s="3">
        <v>730000</v>
      </c>
      <c r="O36" s="3">
        <v>310000</v>
      </c>
      <c r="P36" s="4">
        <v>0.29807692307692307</v>
      </c>
      <c r="Q36" t="s">
        <v>41</v>
      </c>
      <c r="R36" t="s">
        <v>26</v>
      </c>
    </row>
    <row r="37" spans="1:18" x14ac:dyDescent="0.25">
      <c r="A37">
        <v>36</v>
      </c>
      <c r="B37" s="2">
        <v>45324</v>
      </c>
      <c r="C37" t="s">
        <v>18</v>
      </c>
      <c r="D37" t="s">
        <v>55</v>
      </c>
      <c r="E37" t="s">
        <v>51</v>
      </c>
      <c r="F37" t="s">
        <v>45</v>
      </c>
      <c r="G37" t="s">
        <v>43</v>
      </c>
      <c r="H37" t="s">
        <v>37</v>
      </c>
      <c r="I37" t="s">
        <v>44</v>
      </c>
      <c r="J37">
        <v>3</v>
      </c>
      <c r="K37" s="3">
        <v>520000</v>
      </c>
      <c r="L37" s="3">
        <v>365000</v>
      </c>
      <c r="M37" s="3">
        <v>1560000</v>
      </c>
      <c r="N37" s="3">
        <v>1095000</v>
      </c>
      <c r="O37" s="3">
        <v>465000</v>
      </c>
      <c r="P37" s="4">
        <v>0.29807692307692307</v>
      </c>
      <c r="Q37" t="s">
        <v>41</v>
      </c>
      <c r="R37" t="s">
        <v>26</v>
      </c>
    </row>
    <row r="38" spans="1:18" x14ac:dyDescent="0.25">
      <c r="A38">
        <v>37</v>
      </c>
      <c r="B38" s="2">
        <v>45866</v>
      </c>
      <c r="C38" t="s">
        <v>18</v>
      </c>
      <c r="D38" t="s">
        <v>50</v>
      </c>
      <c r="E38" t="s">
        <v>51</v>
      </c>
      <c r="F38" t="s">
        <v>21</v>
      </c>
      <c r="G38" t="s">
        <v>22</v>
      </c>
      <c r="H38" t="s">
        <v>23</v>
      </c>
      <c r="I38" t="s">
        <v>24</v>
      </c>
      <c r="J38">
        <v>1</v>
      </c>
      <c r="K38" s="3">
        <v>310000</v>
      </c>
      <c r="L38" s="3">
        <v>210000</v>
      </c>
      <c r="M38" s="3">
        <v>310000</v>
      </c>
      <c r="N38" s="3">
        <v>210000</v>
      </c>
      <c r="O38" s="3">
        <v>100000</v>
      </c>
      <c r="P38" s="4">
        <v>0.32258064516129031</v>
      </c>
      <c r="Q38" t="s">
        <v>41</v>
      </c>
      <c r="R38" t="s">
        <v>26</v>
      </c>
    </row>
    <row r="39" spans="1:18" x14ac:dyDescent="0.25">
      <c r="A39">
        <v>38</v>
      </c>
      <c r="B39" s="2">
        <v>45630</v>
      </c>
      <c r="C39" t="s">
        <v>27</v>
      </c>
      <c r="D39" t="s">
        <v>28</v>
      </c>
      <c r="E39" t="s">
        <v>29</v>
      </c>
      <c r="F39" t="s">
        <v>21</v>
      </c>
      <c r="G39" t="s">
        <v>52</v>
      </c>
      <c r="H39" t="s">
        <v>53</v>
      </c>
      <c r="I39" t="s">
        <v>54</v>
      </c>
      <c r="J39">
        <v>1</v>
      </c>
      <c r="K39" s="3">
        <v>220000</v>
      </c>
      <c r="L39" s="3">
        <v>145000</v>
      </c>
      <c r="M39" s="3">
        <v>220000</v>
      </c>
      <c r="N39" s="3">
        <v>145000</v>
      </c>
      <c r="O39" s="3">
        <v>75000</v>
      </c>
      <c r="P39" s="4">
        <v>0.34090909090909088</v>
      </c>
      <c r="Q39" t="s">
        <v>39</v>
      </c>
      <c r="R39" t="s">
        <v>26</v>
      </c>
    </row>
    <row r="40" spans="1:18" x14ac:dyDescent="0.25">
      <c r="A40">
        <v>39</v>
      </c>
      <c r="B40" s="2">
        <v>45788</v>
      </c>
      <c r="C40" t="s">
        <v>27</v>
      </c>
      <c r="D40" t="s">
        <v>42</v>
      </c>
      <c r="E40" t="s">
        <v>29</v>
      </c>
      <c r="F40" t="s">
        <v>21</v>
      </c>
      <c r="G40" t="s">
        <v>56</v>
      </c>
      <c r="H40" t="s">
        <v>57</v>
      </c>
      <c r="I40" t="s">
        <v>58</v>
      </c>
      <c r="J40">
        <v>1</v>
      </c>
      <c r="K40" s="3">
        <v>780000</v>
      </c>
      <c r="L40" s="3">
        <v>590000</v>
      </c>
      <c r="M40" s="3">
        <v>780000</v>
      </c>
      <c r="N40" s="3">
        <v>590000</v>
      </c>
      <c r="O40" s="3">
        <v>190000</v>
      </c>
      <c r="P40" s="4">
        <v>0.24358974358974361</v>
      </c>
      <c r="Q40" t="s">
        <v>25</v>
      </c>
      <c r="R40" t="s">
        <v>26</v>
      </c>
    </row>
    <row r="41" spans="1:18" x14ac:dyDescent="0.25">
      <c r="A41">
        <v>40</v>
      </c>
      <c r="B41" s="2">
        <v>45789</v>
      </c>
      <c r="C41" t="s">
        <v>27</v>
      </c>
      <c r="D41" t="s">
        <v>42</v>
      </c>
      <c r="E41" t="s">
        <v>29</v>
      </c>
      <c r="F41" t="s">
        <v>21</v>
      </c>
      <c r="G41" t="s">
        <v>30</v>
      </c>
      <c r="H41" t="s">
        <v>31</v>
      </c>
      <c r="I41" t="s">
        <v>32</v>
      </c>
      <c r="J41">
        <v>4</v>
      </c>
      <c r="K41" s="3">
        <v>780000</v>
      </c>
      <c r="L41" s="3">
        <v>590000</v>
      </c>
      <c r="M41" s="3">
        <v>3120000</v>
      </c>
      <c r="N41" s="3">
        <v>2360000</v>
      </c>
      <c r="O41" s="3">
        <v>760000</v>
      </c>
      <c r="P41" s="4">
        <v>0.24358974358974361</v>
      </c>
      <c r="Q41" t="s">
        <v>39</v>
      </c>
      <c r="R41" t="s">
        <v>26</v>
      </c>
    </row>
    <row r="42" spans="1:18" x14ac:dyDescent="0.25">
      <c r="A42">
        <v>41</v>
      </c>
      <c r="B42" s="2">
        <v>45676</v>
      </c>
      <c r="C42" t="s">
        <v>27</v>
      </c>
      <c r="D42" t="s">
        <v>55</v>
      </c>
      <c r="E42" t="s">
        <v>51</v>
      </c>
      <c r="F42" t="s">
        <v>45</v>
      </c>
      <c r="G42" t="s">
        <v>30</v>
      </c>
      <c r="H42" t="s">
        <v>31</v>
      </c>
      <c r="I42" t="s">
        <v>32</v>
      </c>
      <c r="J42">
        <v>1</v>
      </c>
      <c r="K42" s="3">
        <v>520000</v>
      </c>
      <c r="L42" s="3">
        <v>365000</v>
      </c>
      <c r="M42" s="3">
        <v>520000</v>
      </c>
      <c r="N42" s="3">
        <v>365000</v>
      </c>
      <c r="O42" s="3">
        <v>155000</v>
      </c>
      <c r="P42" s="4">
        <v>0.29807692307692307</v>
      </c>
      <c r="Q42" t="s">
        <v>33</v>
      </c>
      <c r="R42" t="s">
        <v>26</v>
      </c>
    </row>
    <row r="43" spans="1:18" x14ac:dyDescent="0.25">
      <c r="A43">
        <v>42</v>
      </c>
      <c r="B43" s="2">
        <v>45640</v>
      </c>
      <c r="C43" t="s">
        <v>27</v>
      </c>
      <c r="D43" t="s">
        <v>42</v>
      </c>
      <c r="E43" t="s">
        <v>29</v>
      </c>
      <c r="F43" t="s">
        <v>21</v>
      </c>
      <c r="G43" t="s">
        <v>22</v>
      </c>
      <c r="H43" t="s">
        <v>23</v>
      </c>
      <c r="I43" t="s">
        <v>24</v>
      </c>
      <c r="J43">
        <v>4</v>
      </c>
      <c r="K43" s="3">
        <v>780000</v>
      </c>
      <c r="L43" s="3">
        <v>590000</v>
      </c>
      <c r="M43" s="3">
        <v>3120000</v>
      </c>
      <c r="N43" s="3">
        <v>2360000</v>
      </c>
      <c r="O43" s="3">
        <v>760000</v>
      </c>
      <c r="P43" s="4">
        <v>0.24358974358974361</v>
      </c>
      <c r="Q43" t="s">
        <v>25</v>
      </c>
      <c r="R43" t="s">
        <v>26</v>
      </c>
    </row>
    <row r="44" spans="1:18" x14ac:dyDescent="0.25">
      <c r="A44">
        <v>43</v>
      </c>
      <c r="B44" s="2">
        <v>45839</v>
      </c>
      <c r="C44" t="s">
        <v>18</v>
      </c>
      <c r="D44" t="s">
        <v>40</v>
      </c>
      <c r="E44" t="s">
        <v>35</v>
      </c>
      <c r="F44" t="s">
        <v>45</v>
      </c>
      <c r="G44" t="s">
        <v>22</v>
      </c>
      <c r="H44" t="s">
        <v>23</v>
      </c>
      <c r="I44" t="s">
        <v>24</v>
      </c>
      <c r="J44">
        <v>4</v>
      </c>
      <c r="K44" s="3">
        <v>185000</v>
      </c>
      <c r="L44" s="3">
        <v>108000</v>
      </c>
      <c r="M44" s="3">
        <v>740000</v>
      </c>
      <c r="N44" s="3">
        <v>432000</v>
      </c>
      <c r="O44" s="3">
        <v>308000</v>
      </c>
      <c r="P44" s="4">
        <v>0.41621621621621618</v>
      </c>
      <c r="Q44" t="s">
        <v>39</v>
      </c>
      <c r="R44" t="s">
        <v>26</v>
      </c>
    </row>
    <row r="45" spans="1:18" x14ac:dyDescent="0.25">
      <c r="A45">
        <v>44</v>
      </c>
      <c r="B45" s="2">
        <v>45882</v>
      </c>
      <c r="C45" t="s">
        <v>27</v>
      </c>
      <c r="D45" t="s">
        <v>34</v>
      </c>
      <c r="E45" t="s">
        <v>35</v>
      </c>
      <c r="F45" t="s">
        <v>21</v>
      </c>
      <c r="G45" t="s">
        <v>43</v>
      </c>
      <c r="H45" t="s">
        <v>37</v>
      </c>
      <c r="I45" t="s">
        <v>44</v>
      </c>
      <c r="J45">
        <v>1</v>
      </c>
      <c r="K45" s="3">
        <v>115000</v>
      </c>
      <c r="L45" s="3">
        <v>68000</v>
      </c>
      <c r="M45" s="3">
        <v>115000</v>
      </c>
      <c r="N45" s="3">
        <v>68000</v>
      </c>
      <c r="O45" s="3">
        <v>47000</v>
      </c>
      <c r="P45" s="4">
        <v>0.40869565217391313</v>
      </c>
      <c r="Q45" t="s">
        <v>25</v>
      </c>
      <c r="R45" t="s">
        <v>26</v>
      </c>
    </row>
    <row r="46" spans="1:18" x14ac:dyDescent="0.25">
      <c r="A46">
        <v>45</v>
      </c>
      <c r="B46" s="2">
        <v>45426</v>
      </c>
      <c r="C46" t="s">
        <v>27</v>
      </c>
      <c r="D46" t="s">
        <v>34</v>
      </c>
      <c r="E46" t="s">
        <v>35</v>
      </c>
      <c r="F46" t="s">
        <v>45</v>
      </c>
      <c r="G46" t="s">
        <v>22</v>
      </c>
      <c r="H46" t="s">
        <v>23</v>
      </c>
      <c r="I46" t="s">
        <v>24</v>
      </c>
      <c r="J46">
        <v>1</v>
      </c>
      <c r="K46" s="3">
        <v>115000</v>
      </c>
      <c r="L46" s="3">
        <v>68000</v>
      </c>
      <c r="M46" s="3">
        <v>115000</v>
      </c>
      <c r="N46" s="3">
        <v>68000</v>
      </c>
      <c r="O46" s="3">
        <v>47000</v>
      </c>
      <c r="P46" s="4">
        <v>0.40869565217391313</v>
      </c>
      <c r="Q46" t="s">
        <v>25</v>
      </c>
      <c r="R46" t="s">
        <v>26</v>
      </c>
    </row>
    <row r="47" spans="1:18" x14ac:dyDescent="0.25">
      <c r="A47">
        <v>46</v>
      </c>
      <c r="B47" s="2">
        <v>45940</v>
      </c>
      <c r="C47" t="s">
        <v>27</v>
      </c>
      <c r="D47" t="s">
        <v>55</v>
      </c>
      <c r="E47" t="s">
        <v>51</v>
      </c>
      <c r="F47" t="s">
        <v>45</v>
      </c>
      <c r="G47" t="s">
        <v>46</v>
      </c>
      <c r="H47" t="s">
        <v>47</v>
      </c>
      <c r="I47" t="s">
        <v>48</v>
      </c>
      <c r="J47">
        <v>4</v>
      </c>
      <c r="K47" s="3">
        <v>520000</v>
      </c>
      <c r="L47" s="3">
        <v>365000</v>
      </c>
      <c r="M47" s="3">
        <v>2080000</v>
      </c>
      <c r="N47" s="3">
        <v>1460000</v>
      </c>
      <c r="O47" s="3">
        <v>620000</v>
      </c>
      <c r="P47" s="4">
        <v>0.29807692307692307</v>
      </c>
      <c r="Q47" t="s">
        <v>33</v>
      </c>
      <c r="R47" t="s">
        <v>26</v>
      </c>
    </row>
    <row r="48" spans="1:18" x14ac:dyDescent="0.25">
      <c r="A48">
        <v>47</v>
      </c>
      <c r="B48" s="2">
        <v>45429</v>
      </c>
      <c r="C48" t="s">
        <v>27</v>
      </c>
      <c r="D48" t="s">
        <v>62</v>
      </c>
      <c r="E48" t="s">
        <v>20</v>
      </c>
      <c r="F48" t="s">
        <v>21</v>
      </c>
      <c r="G48" t="s">
        <v>30</v>
      </c>
      <c r="H48" t="s">
        <v>31</v>
      </c>
      <c r="I48" t="s">
        <v>32</v>
      </c>
      <c r="J48">
        <v>1</v>
      </c>
      <c r="K48" s="3">
        <v>28000</v>
      </c>
      <c r="L48" s="3">
        <v>11000</v>
      </c>
      <c r="M48" s="3">
        <v>28000</v>
      </c>
      <c r="N48" s="3">
        <v>11000</v>
      </c>
      <c r="O48" s="3">
        <v>17000</v>
      </c>
      <c r="P48" s="4">
        <v>0.6071428571428571</v>
      </c>
      <c r="Q48" t="s">
        <v>25</v>
      </c>
      <c r="R48" t="s">
        <v>26</v>
      </c>
    </row>
    <row r="49" spans="1:18" x14ac:dyDescent="0.25">
      <c r="A49">
        <v>48</v>
      </c>
      <c r="B49" s="2">
        <v>45701</v>
      </c>
      <c r="C49" t="s">
        <v>18</v>
      </c>
      <c r="D49" t="s">
        <v>55</v>
      </c>
      <c r="E49" t="s">
        <v>51</v>
      </c>
      <c r="F49" t="s">
        <v>21</v>
      </c>
      <c r="G49" t="s">
        <v>36</v>
      </c>
      <c r="H49" t="s">
        <v>37</v>
      </c>
      <c r="I49" t="s">
        <v>38</v>
      </c>
      <c r="J49">
        <v>1</v>
      </c>
      <c r="K49" s="3">
        <v>520000</v>
      </c>
      <c r="L49" s="3">
        <v>365000</v>
      </c>
      <c r="M49" s="3">
        <v>520000</v>
      </c>
      <c r="N49" s="3">
        <v>365000</v>
      </c>
      <c r="O49" s="3">
        <v>155000</v>
      </c>
      <c r="P49" s="4">
        <v>0.29807692307692307</v>
      </c>
      <c r="Q49" t="s">
        <v>39</v>
      </c>
      <c r="R49" t="s">
        <v>26</v>
      </c>
    </row>
    <row r="50" spans="1:18" x14ac:dyDescent="0.25">
      <c r="A50">
        <v>49</v>
      </c>
      <c r="B50" s="2">
        <v>45330</v>
      </c>
      <c r="C50" t="s">
        <v>18</v>
      </c>
      <c r="D50" t="s">
        <v>40</v>
      </c>
      <c r="E50" t="s">
        <v>35</v>
      </c>
      <c r="F50" t="s">
        <v>21</v>
      </c>
      <c r="G50" t="s">
        <v>30</v>
      </c>
      <c r="H50" t="s">
        <v>31</v>
      </c>
      <c r="I50" t="s">
        <v>32</v>
      </c>
      <c r="J50">
        <v>1</v>
      </c>
      <c r="K50" s="3">
        <v>185000</v>
      </c>
      <c r="L50" s="3">
        <v>108000</v>
      </c>
      <c r="M50" s="3">
        <v>185000</v>
      </c>
      <c r="N50" s="3">
        <v>108000</v>
      </c>
      <c r="O50" s="3">
        <v>77000</v>
      </c>
      <c r="P50" s="4">
        <v>0.41621621621621618</v>
      </c>
      <c r="Q50" t="s">
        <v>33</v>
      </c>
      <c r="R50" t="s">
        <v>26</v>
      </c>
    </row>
    <row r="51" spans="1:18" x14ac:dyDescent="0.25">
      <c r="A51">
        <v>50</v>
      </c>
      <c r="B51" s="2">
        <v>45875</v>
      </c>
      <c r="C51" t="s">
        <v>18</v>
      </c>
      <c r="D51" t="s">
        <v>28</v>
      </c>
      <c r="E51" t="s">
        <v>29</v>
      </c>
      <c r="F51" t="s">
        <v>45</v>
      </c>
      <c r="G51" t="s">
        <v>56</v>
      </c>
      <c r="H51" t="s">
        <v>57</v>
      </c>
      <c r="I51" t="s">
        <v>58</v>
      </c>
      <c r="J51">
        <v>2</v>
      </c>
      <c r="K51" s="3">
        <v>220000</v>
      </c>
      <c r="L51" s="3">
        <v>145000</v>
      </c>
      <c r="M51" s="3">
        <v>440000</v>
      </c>
      <c r="N51" s="3">
        <v>290000</v>
      </c>
      <c r="O51" s="3">
        <v>150000</v>
      </c>
      <c r="P51" s="4">
        <v>0.34090909090909088</v>
      </c>
      <c r="Q51" t="s">
        <v>25</v>
      </c>
      <c r="R51" t="s">
        <v>26</v>
      </c>
    </row>
    <row r="52" spans="1:18" x14ac:dyDescent="0.25">
      <c r="A52">
        <v>51</v>
      </c>
      <c r="B52" s="2">
        <v>45335</v>
      </c>
      <c r="C52" t="s">
        <v>27</v>
      </c>
      <c r="D52" t="s">
        <v>50</v>
      </c>
      <c r="E52" t="s">
        <v>51</v>
      </c>
      <c r="F52" t="s">
        <v>45</v>
      </c>
      <c r="G52" t="s">
        <v>52</v>
      </c>
      <c r="H52" t="s">
        <v>53</v>
      </c>
      <c r="I52" t="s">
        <v>54</v>
      </c>
      <c r="J52">
        <v>3</v>
      </c>
      <c r="K52" s="3">
        <v>310000</v>
      </c>
      <c r="L52" s="3">
        <v>210000</v>
      </c>
      <c r="M52" s="3">
        <v>930000</v>
      </c>
      <c r="N52" s="3">
        <v>630000</v>
      </c>
      <c r="O52" s="3">
        <v>300000</v>
      </c>
      <c r="P52" s="4">
        <v>0.32258064516129031</v>
      </c>
      <c r="Q52" t="s">
        <v>41</v>
      </c>
      <c r="R52" t="s">
        <v>26</v>
      </c>
    </row>
    <row r="53" spans="1:18" x14ac:dyDescent="0.25">
      <c r="A53">
        <v>52</v>
      </c>
      <c r="B53" s="2">
        <v>45774</v>
      </c>
      <c r="C53" t="s">
        <v>18</v>
      </c>
      <c r="D53" t="s">
        <v>34</v>
      </c>
      <c r="E53" t="s">
        <v>35</v>
      </c>
      <c r="F53" t="s">
        <v>45</v>
      </c>
      <c r="G53" t="s">
        <v>43</v>
      </c>
      <c r="H53" t="s">
        <v>37</v>
      </c>
      <c r="I53" t="s">
        <v>44</v>
      </c>
      <c r="J53">
        <v>4</v>
      </c>
      <c r="K53" s="3">
        <v>115000</v>
      </c>
      <c r="L53" s="3">
        <v>68000</v>
      </c>
      <c r="M53" s="3">
        <v>460000</v>
      </c>
      <c r="N53" s="3">
        <v>272000</v>
      </c>
      <c r="O53" s="3">
        <v>188000</v>
      </c>
      <c r="P53" s="4">
        <v>0.40869565217391313</v>
      </c>
      <c r="Q53" t="s">
        <v>41</v>
      </c>
      <c r="R53" t="s">
        <v>26</v>
      </c>
    </row>
    <row r="54" spans="1:18" x14ac:dyDescent="0.25">
      <c r="A54">
        <v>53</v>
      </c>
      <c r="B54" s="2">
        <v>45744</v>
      </c>
      <c r="C54" t="s">
        <v>18</v>
      </c>
      <c r="D54" t="s">
        <v>40</v>
      </c>
      <c r="E54" t="s">
        <v>35</v>
      </c>
      <c r="F54" t="s">
        <v>45</v>
      </c>
      <c r="G54" t="s">
        <v>36</v>
      </c>
      <c r="H54" t="s">
        <v>37</v>
      </c>
      <c r="I54" t="s">
        <v>38</v>
      </c>
      <c r="J54">
        <v>3</v>
      </c>
      <c r="K54" s="3">
        <v>185000</v>
      </c>
      <c r="L54" s="3">
        <v>108000</v>
      </c>
      <c r="M54" s="3">
        <v>555000</v>
      </c>
      <c r="N54" s="3">
        <v>324000</v>
      </c>
      <c r="O54" s="3">
        <v>231000</v>
      </c>
      <c r="P54" s="4">
        <v>0.41621621621621618</v>
      </c>
      <c r="Q54" t="s">
        <v>33</v>
      </c>
      <c r="R54" t="s">
        <v>26</v>
      </c>
    </row>
    <row r="55" spans="1:18" x14ac:dyDescent="0.25">
      <c r="A55">
        <v>54</v>
      </c>
      <c r="B55" s="2">
        <v>45641</v>
      </c>
      <c r="C55" t="s">
        <v>18</v>
      </c>
      <c r="D55" t="s">
        <v>19</v>
      </c>
      <c r="E55" t="s">
        <v>20</v>
      </c>
      <c r="F55" t="s">
        <v>21</v>
      </c>
      <c r="G55" t="s">
        <v>59</v>
      </c>
      <c r="H55" t="s">
        <v>31</v>
      </c>
      <c r="I55" t="s">
        <v>60</v>
      </c>
      <c r="J55">
        <v>1</v>
      </c>
      <c r="K55" s="3">
        <v>24000</v>
      </c>
      <c r="L55" s="3">
        <v>9500</v>
      </c>
      <c r="M55" s="3">
        <v>24000</v>
      </c>
      <c r="N55" s="3">
        <v>9500</v>
      </c>
      <c r="O55" s="3">
        <v>14500</v>
      </c>
      <c r="P55" s="4">
        <v>0.60416666666666663</v>
      </c>
      <c r="Q55" t="s">
        <v>41</v>
      </c>
      <c r="R55" t="s">
        <v>26</v>
      </c>
    </row>
    <row r="56" spans="1:18" x14ac:dyDescent="0.25">
      <c r="A56">
        <v>55</v>
      </c>
      <c r="B56" s="2">
        <v>45915</v>
      </c>
      <c r="C56" t="s">
        <v>27</v>
      </c>
      <c r="D56" t="s">
        <v>50</v>
      </c>
      <c r="E56" t="s">
        <v>51</v>
      </c>
      <c r="F56" t="s">
        <v>21</v>
      </c>
      <c r="G56" t="s">
        <v>56</v>
      </c>
      <c r="H56" t="s">
        <v>57</v>
      </c>
      <c r="I56" t="s">
        <v>58</v>
      </c>
      <c r="J56">
        <v>3</v>
      </c>
      <c r="K56" s="3">
        <v>310000</v>
      </c>
      <c r="L56" s="3">
        <v>210000</v>
      </c>
      <c r="M56" s="3">
        <v>930000</v>
      </c>
      <c r="N56" s="3">
        <v>630000</v>
      </c>
      <c r="O56" s="3">
        <v>300000</v>
      </c>
      <c r="P56" s="4">
        <v>0.32258064516129031</v>
      </c>
      <c r="Q56" t="s">
        <v>39</v>
      </c>
      <c r="R56" t="s">
        <v>26</v>
      </c>
    </row>
    <row r="57" spans="1:18" x14ac:dyDescent="0.25">
      <c r="A57">
        <v>56</v>
      </c>
      <c r="B57" s="2">
        <v>45974</v>
      </c>
      <c r="C57" t="s">
        <v>27</v>
      </c>
      <c r="D57" t="s">
        <v>42</v>
      </c>
      <c r="E57" t="s">
        <v>29</v>
      </c>
      <c r="F57" t="s">
        <v>45</v>
      </c>
      <c r="G57" t="s">
        <v>36</v>
      </c>
      <c r="H57" t="s">
        <v>37</v>
      </c>
      <c r="I57" t="s">
        <v>38</v>
      </c>
      <c r="J57">
        <v>4</v>
      </c>
      <c r="K57" s="3">
        <v>780000</v>
      </c>
      <c r="L57" s="3">
        <v>590000</v>
      </c>
      <c r="M57" s="3">
        <v>3120000</v>
      </c>
      <c r="N57" s="3">
        <v>2360000</v>
      </c>
      <c r="O57" s="3">
        <v>760000</v>
      </c>
      <c r="P57" s="4">
        <v>0.24358974358974361</v>
      </c>
      <c r="Q57" t="s">
        <v>39</v>
      </c>
      <c r="R57" t="s">
        <v>26</v>
      </c>
    </row>
    <row r="58" spans="1:18" x14ac:dyDescent="0.25">
      <c r="A58">
        <v>57</v>
      </c>
      <c r="B58" s="2">
        <v>45924</v>
      </c>
      <c r="C58" t="s">
        <v>18</v>
      </c>
      <c r="D58" t="s">
        <v>49</v>
      </c>
      <c r="E58" t="s">
        <v>20</v>
      </c>
      <c r="F58" t="s">
        <v>21</v>
      </c>
      <c r="G58" t="s">
        <v>36</v>
      </c>
      <c r="H58" t="s">
        <v>37</v>
      </c>
      <c r="I58" t="s">
        <v>38</v>
      </c>
      <c r="J58">
        <v>2</v>
      </c>
      <c r="K58" s="3">
        <v>45000</v>
      </c>
      <c r="L58" s="3">
        <v>21000</v>
      </c>
      <c r="M58" s="3">
        <v>90000</v>
      </c>
      <c r="N58" s="3">
        <v>42000</v>
      </c>
      <c r="O58" s="3">
        <v>48000</v>
      </c>
      <c r="P58" s="4">
        <v>0.53333333333333333</v>
      </c>
      <c r="Q58" t="s">
        <v>25</v>
      </c>
      <c r="R58" t="s">
        <v>26</v>
      </c>
    </row>
    <row r="59" spans="1:18" x14ac:dyDescent="0.25">
      <c r="A59">
        <v>58</v>
      </c>
      <c r="B59" s="2">
        <v>45452</v>
      </c>
      <c r="C59" t="s">
        <v>27</v>
      </c>
      <c r="D59" t="s">
        <v>50</v>
      </c>
      <c r="E59" t="s">
        <v>51</v>
      </c>
      <c r="F59" t="s">
        <v>45</v>
      </c>
      <c r="G59" t="s">
        <v>59</v>
      </c>
      <c r="H59" t="s">
        <v>31</v>
      </c>
      <c r="I59" t="s">
        <v>60</v>
      </c>
      <c r="J59">
        <v>2</v>
      </c>
      <c r="K59" s="3">
        <v>310000</v>
      </c>
      <c r="L59" s="3">
        <v>210000</v>
      </c>
      <c r="M59" s="3">
        <v>620000</v>
      </c>
      <c r="N59" s="3">
        <v>420000</v>
      </c>
      <c r="O59" s="3">
        <v>200000</v>
      </c>
      <c r="P59" s="4">
        <v>0.32258064516129031</v>
      </c>
      <c r="Q59" t="s">
        <v>25</v>
      </c>
      <c r="R59" t="s">
        <v>26</v>
      </c>
    </row>
    <row r="60" spans="1:18" x14ac:dyDescent="0.25">
      <c r="A60">
        <v>59</v>
      </c>
      <c r="B60" s="2">
        <v>45966</v>
      </c>
      <c r="C60" t="s">
        <v>18</v>
      </c>
      <c r="D60" t="s">
        <v>50</v>
      </c>
      <c r="E60" t="s">
        <v>51</v>
      </c>
      <c r="F60" t="s">
        <v>21</v>
      </c>
      <c r="G60" t="s">
        <v>43</v>
      </c>
      <c r="H60" t="s">
        <v>37</v>
      </c>
      <c r="I60" t="s">
        <v>44</v>
      </c>
      <c r="J60">
        <v>2</v>
      </c>
      <c r="K60" s="3">
        <v>310000</v>
      </c>
      <c r="L60" s="3">
        <v>210000</v>
      </c>
      <c r="M60" s="3">
        <v>620000</v>
      </c>
      <c r="N60" s="3">
        <v>420000</v>
      </c>
      <c r="O60" s="3">
        <v>200000</v>
      </c>
      <c r="P60" s="4">
        <v>0.32258064516129031</v>
      </c>
      <c r="Q60" t="s">
        <v>25</v>
      </c>
      <c r="R60" t="s">
        <v>26</v>
      </c>
    </row>
    <row r="61" spans="1:18" x14ac:dyDescent="0.25">
      <c r="A61">
        <v>60</v>
      </c>
      <c r="B61" s="2">
        <v>45975</v>
      </c>
      <c r="C61" t="s">
        <v>18</v>
      </c>
      <c r="D61" t="s">
        <v>19</v>
      </c>
      <c r="E61" t="s">
        <v>20</v>
      </c>
      <c r="F61" t="s">
        <v>21</v>
      </c>
      <c r="G61" t="s">
        <v>46</v>
      </c>
      <c r="H61" t="s">
        <v>47</v>
      </c>
      <c r="I61" t="s">
        <v>48</v>
      </c>
      <c r="J61">
        <v>4</v>
      </c>
      <c r="K61" s="3">
        <v>24000</v>
      </c>
      <c r="L61" s="3">
        <v>9500</v>
      </c>
      <c r="M61" s="3">
        <v>96000</v>
      </c>
      <c r="N61" s="3">
        <v>38000</v>
      </c>
      <c r="O61" s="3">
        <v>58000</v>
      </c>
      <c r="P61" s="4">
        <v>0.60416666666666663</v>
      </c>
      <c r="Q61" t="s">
        <v>25</v>
      </c>
      <c r="R61" t="s">
        <v>26</v>
      </c>
    </row>
    <row r="62" spans="1:18" x14ac:dyDescent="0.25">
      <c r="A62">
        <v>61</v>
      </c>
      <c r="B62" s="2">
        <v>45948</v>
      </c>
      <c r="C62" t="s">
        <v>27</v>
      </c>
      <c r="D62" t="s">
        <v>55</v>
      </c>
      <c r="E62" t="s">
        <v>51</v>
      </c>
      <c r="F62" t="s">
        <v>21</v>
      </c>
      <c r="G62" t="s">
        <v>52</v>
      </c>
      <c r="H62" t="s">
        <v>53</v>
      </c>
      <c r="I62" t="s">
        <v>54</v>
      </c>
      <c r="J62">
        <v>4</v>
      </c>
      <c r="K62" s="3">
        <v>520000</v>
      </c>
      <c r="L62" s="3">
        <v>365000</v>
      </c>
      <c r="M62" s="3">
        <v>2080000</v>
      </c>
      <c r="N62" s="3">
        <v>1460000</v>
      </c>
      <c r="O62" s="3">
        <v>620000</v>
      </c>
      <c r="P62" s="4">
        <v>0.29807692307692307</v>
      </c>
      <c r="Q62" t="s">
        <v>39</v>
      </c>
      <c r="R62" t="s">
        <v>26</v>
      </c>
    </row>
    <row r="63" spans="1:18" x14ac:dyDescent="0.25">
      <c r="A63">
        <v>62</v>
      </c>
      <c r="B63" s="2">
        <v>45695</v>
      </c>
      <c r="C63" t="s">
        <v>27</v>
      </c>
      <c r="D63" t="s">
        <v>50</v>
      </c>
      <c r="E63" t="s">
        <v>51</v>
      </c>
      <c r="F63" t="s">
        <v>21</v>
      </c>
      <c r="G63" t="s">
        <v>43</v>
      </c>
      <c r="H63" t="s">
        <v>37</v>
      </c>
      <c r="I63" t="s">
        <v>44</v>
      </c>
      <c r="J63">
        <v>1</v>
      </c>
      <c r="K63" s="3">
        <v>310000</v>
      </c>
      <c r="L63" s="3">
        <v>210000</v>
      </c>
      <c r="M63" s="3">
        <v>310000</v>
      </c>
      <c r="N63" s="3">
        <v>210000</v>
      </c>
      <c r="O63" s="3">
        <v>100000</v>
      </c>
      <c r="P63" s="4">
        <v>0.32258064516129031</v>
      </c>
      <c r="Q63" t="s">
        <v>41</v>
      </c>
      <c r="R63" t="s">
        <v>26</v>
      </c>
    </row>
    <row r="64" spans="1:18" x14ac:dyDescent="0.25">
      <c r="A64">
        <v>63</v>
      </c>
      <c r="B64" s="2">
        <v>45967</v>
      </c>
      <c r="C64" t="s">
        <v>18</v>
      </c>
      <c r="D64" t="s">
        <v>19</v>
      </c>
      <c r="E64" t="s">
        <v>20</v>
      </c>
      <c r="F64" t="s">
        <v>21</v>
      </c>
      <c r="G64" t="s">
        <v>36</v>
      </c>
      <c r="H64" t="s">
        <v>37</v>
      </c>
      <c r="I64" t="s">
        <v>38</v>
      </c>
      <c r="J64">
        <v>1</v>
      </c>
      <c r="K64" s="3">
        <v>24000</v>
      </c>
      <c r="L64" s="3">
        <v>9500</v>
      </c>
      <c r="M64" s="3">
        <v>24000</v>
      </c>
      <c r="N64" s="3">
        <v>9500</v>
      </c>
      <c r="O64" s="3">
        <v>14500</v>
      </c>
      <c r="P64" s="4">
        <v>0.60416666666666663</v>
      </c>
      <c r="Q64" t="s">
        <v>33</v>
      </c>
      <c r="R64" t="s">
        <v>26</v>
      </c>
    </row>
    <row r="65" spans="1:18" x14ac:dyDescent="0.25">
      <c r="A65">
        <v>64</v>
      </c>
      <c r="B65" s="2">
        <v>45529</v>
      </c>
      <c r="C65" t="s">
        <v>18</v>
      </c>
      <c r="D65" t="s">
        <v>42</v>
      </c>
      <c r="E65" t="s">
        <v>29</v>
      </c>
      <c r="F65" t="s">
        <v>21</v>
      </c>
      <c r="G65" t="s">
        <v>36</v>
      </c>
      <c r="H65" t="s">
        <v>37</v>
      </c>
      <c r="I65" t="s">
        <v>38</v>
      </c>
      <c r="J65">
        <v>2</v>
      </c>
      <c r="K65" s="3">
        <v>780000</v>
      </c>
      <c r="L65" s="3">
        <v>590000</v>
      </c>
      <c r="M65" s="3">
        <v>1560000</v>
      </c>
      <c r="N65" s="3">
        <v>1180000</v>
      </c>
      <c r="O65" s="3">
        <v>380000</v>
      </c>
      <c r="P65" s="4">
        <v>0.24358974358974361</v>
      </c>
      <c r="Q65" t="s">
        <v>39</v>
      </c>
      <c r="R65" t="s">
        <v>26</v>
      </c>
    </row>
    <row r="66" spans="1:18" x14ac:dyDescent="0.25">
      <c r="A66">
        <v>65</v>
      </c>
      <c r="B66" s="2">
        <v>45361</v>
      </c>
      <c r="C66" t="s">
        <v>27</v>
      </c>
      <c r="D66" t="s">
        <v>50</v>
      </c>
      <c r="E66" t="s">
        <v>51</v>
      </c>
      <c r="F66" t="s">
        <v>21</v>
      </c>
      <c r="G66" t="s">
        <v>46</v>
      </c>
      <c r="H66" t="s">
        <v>47</v>
      </c>
      <c r="I66" t="s">
        <v>48</v>
      </c>
      <c r="J66">
        <v>3</v>
      </c>
      <c r="K66" s="3">
        <v>310000</v>
      </c>
      <c r="L66" s="3">
        <v>210000</v>
      </c>
      <c r="M66" s="3">
        <v>930000</v>
      </c>
      <c r="N66" s="3">
        <v>630000</v>
      </c>
      <c r="O66" s="3">
        <v>300000</v>
      </c>
      <c r="P66" s="4">
        <v>0.32258064516129031</v>
      </c>
      <c r="Q66" t="s">
        <v>33</v>
      </c>
      <c r="R66" t="s">
        <v>26</v>
      </c>
    </row>
    <row r="67" spans="1:18" x14ac:dyDescent="0.25">
      <c r="A67">
        <v>66</v>
      </c>
      <c r="B67" s="2">
        <v>45862</v>
      </c>
      <c r="C67" t="s">
        <v>18</v>
      </c>
      <c r="D67" t="s">
        <v>62</v>
      </c>
      <c r="E67" t="s">
        <v>20</v>
      </c>
      <c r="F67" t="s">
        <v>21</v>
      </c>
      <c r="G67" t="s">
        <v>43</v>
      </c>
      <c r="H67" t="s">
        <v>37</v>
      </c>
      <c r="I67" t="s">
        <v>44</v>
      </c>
      <c r="J67">
        <v>3</v>
      </c>
      <c r="K67" s="3">
        <v>28000</v>
      </c>
      <c r="L67" s="3">
        <v>11000</v>
      </c>
      <c r="M67" s="3">
        <v>84000</v>
      </c>
      <c r="N67" s="3">
        <v>33000</v>
      </c>
      <c r="O67" s="3">
        <v>51000</v>
      </c>
      <c r="P67" s="4">
        <v>0.6071428571428571</v>
      </c>
      <c r="Q67" t="s">
        <v>41</v>
      </c>
      <c r="R67" t="s">
        <v>26</v>
      </c>
    </row>
    <row r="68" spans="1:18" x14ac:dyDescent="0.25">
      <c r="A68">
        <v>67</v>
      </c>
      <c r="B68" s="2">
        <v>45470</v>
      </c>
      <c r="C68" t="s">
        <v>27</v>
      </c>
      <c r="D68" t="s">
        <v>49</v>
      </c>
      <c r="E68" t="s">
        <v>20</v>
      </c>
      <c r="F68" t="s">
        <v>45</v>
      </c>
      <c r="G68" t="s">
        <v>59</v>
      </c>
      <c r="H68" t="s">
        <v>31</v>
      </c>
      <c r="I68" t="s">
        <v>60</v>
      </c>
      <c r="J68">
        <v>4</v>
      </c>
      <c r="K68" s="3">
        <v>45000</v>
      </c>
      <c r="L68" s="3">
        <v>21000</v>
      </c>
      <c r="M68" s="3">
        <v>180000</v>
      </c>
      <c r="N68" s="3">
        <v>84000</v>
      </c>
      <c r="O68" s="3">
        <v>96000</v>
      </c>
      <c r="P68" s="4">
        <v>0.53333333333333333</v>
      </c>
      <c r="Q68" t="s">
        <v>25</v>
      </c>
      <c r="R68" t="s">
        <v>26</v>
      </c>
    </row>
    <row r="69" spans="1:18" x14ac:dyDescent="0.25">
      <c r="A69">
        <v>68</v>
      </c>
      <c r="B69" s="2">
        <v>45383</v>
      </c>
      <c r="C69" t="s">
        <v>27</v>
      </c>
      <c r="D69" t="s">
        <v>42</v>
      </c>
      <c r="E69" t="s">
        <v>29</v>
      </c>
      <c r="F69" t="s">
        <v>45</v>
      </c>
      <c r="G69" t="s">
        <v>52</v>
      </c>
      <c r="H69" t="s">
        <v>53</v>
      </c>
      <c r="I69" t="s">
        <v>54</v>
      </c>
      <c r="J69">
        <v>4</v>
      </c>
      <c r="K69" s="3">
        <v>780000</v>
      </c>
      <c r="L69" s="3">
        <v>590000</v>
      </c>
      <c r="M69" s="3">
        <v>3120000</v>
      </c>
      <c r="N69" s="3">
        <v>2360000</v>
      </c>
      <c r="O69" s="3">
        <v>760000</v>
      </c>
      <c r="P69" s="4">
        <v>0.24358974358974361</v>
      </c>
      <c r="Q69" t="s">
        <v>25</v>
      </c>
      <c r="R69" t="s">
        <v>26</v>
      </c>
    </row>
    <row r="70" spans="1:18" x14ac:dyDescent="0.25">
      <c r="A70">
        <v>69</v>
      </c>
      <c r="B70" s="2">
        <v>45453</v>
      </c>
      <c r="C70" t="s">
        <v>18</v>
      </c>
      <c r="D70" t="s">
        <v>50</v>
      </c>
      <c r="E70" t="s">
        <v>51</v>
      </c>
      <c r="F70" t="s">
        <v>45</v>
      </c>
      <c r="G70" t="s">
        <v>22</v>
      </c>
      <c r="H70" t="s">
        <v>23</v>
      </c>
      <c r="I70" t="s">
        <v>24</v>
      </c>
      <c r="J70">
        <v>2</v>
      </c>
      <c r="K70" s="3">
        <v>310000</v>
      </c>
      <c r="L70" s="3">
        <v>210000</v>
      </c>
      <c r="M70" s="3">
        <v>620000</v>
      </c>
      <c r="N70" s="3">
        <v>420000</v>
      </c>
      <c r="O70" s="3">
        <v>200000</v>
      </c>
      <c r="P70" s="4">
        <v>0.32258064516129031</v>
      </c>
      <c r="Q70" t="s">
        <v>39</v>
      </c>
      <c r="R70" t="s">
        <v>26</v>
      </c>
    </row>
    <row r="71" spans="1:18" x14ac:dyDescent="0.25">
      <c r="A71">
        <v>70</v>
      </c>
      <c r="B71" s="2">
        <v>45311</v>
      </c>
      <c r="C71" t="s">
        <v>27</v>
      </c>
      <c r="D71" t="s">
        <v>50</v>
      </c>
      <c r="E71" t="s">
        <v>51</v>
      </c>
      <c r="F71" t="s">
        <v>21</v>
      </c>
      <c r="G71" t="s">
        <v>36</v>
      </c>
      <c r="H71" t="s">
        <v>37</v>
      </c>
      <c r="I71" t="s">
        <v>38</v>
      </c>
      <c r="J71">
        <v>1</v>
      </c>
      <c r="K71" s="3">
        <v>310000</v>
      </c>
      <c r="L71" s="3">
        <v>210000</v>
      </c>
      <c r="M71" s="3">
        <v>310000</v>
      </c>
      <c r="N71" s="3">
        <v>210000</v>
      </c>
      <c r="O71" s="3">
        <v>100000</v>
      </c>
      <c r="P71" s="4">
        <v>0.32258064516129031</v>
      </c>
      <c r="Q71" t="s">
        <v>39</v>
      </c>
      <c r="R71" t="s">
        <v>26</v>
      </c>
    </row>
    <row r="72" spans="1:18" x14ac:dyDescent="0.25">
      <c r="A72">
        <v>71</v>
      </c>
      <c r="B72" s="2">
        <v>45352</v>
      </c>
      <c r="C72" t="s">
        <v>27</v>
      </c>
      <c r="D72" t="s">
        <v>61</v>
      </c>
      <c r="E72" t="s">
        <v>29</v>
      </c>
      <c r="F72" t="s">
        <v>45</v>
      </c>
      <c r="G72" t="s">
        <v>56</v>
      </c>
      <c r="H72" t="s">
        <v>57</v>
      </c>
      <c r="I72" t="s">
        <v>58</v>
      </c>
      <c r="J72">
        <v>1</v>
      </c>
      <c r="K72" s="3">
        <v>390000</v>
      </c>
      <c r="L72" s="3">
        <v>270000</v>
      </c>
      <c r="M72" s="3">
        <v>390000</v>
      </c>
      <c r="N72" s="3">
        <v>270000</v>
      </c>
      <c r="O72" s="3">
        <v>120000</v>
      </c>
      <c r="P72" s="4">
        <v>0.30769230769230771</v>
      </c>
      <c r="Q72" t="s">
        <v>25</v>
      </c>
      <c r="R72" t="s">
        <v>26</v>
      </c>
    </row>
    <row r="73" spans="1:18" x14ac:dyDescent="0.25">
      <c r="A73">
        <v>72</v>
      </c>
      <c r="B73" s="2">
        <v>45593</v>
      </c>
      <c r="C73" t="s">
        <v>27</v>
      </c>
      <c r="D73" t="s">
        <v>61</v>
      </c>
      <c r="E73" t="s">
        <v>29</v>
      </c>
      <c r="F73" t="s">
        <v>45</v>
      </c>
      <c r="G73" t="s">
        <v>56</v>
      </c>
      <c r="H73" t="s">
        <v>57</v>
      </c>
      <c r="I73" t="s">
        <v>58</v>
      </c>
      <c r="J73">
        <v>1</v>
      </c>
      <c r="K73" s="3">
        <v>390000</v>
      </c>
      <c r="L73" s="3">
        <v>270000</v>
      </c>
      <c r="M73" s="3">
        <v>390000</v>
      </c>
      <c r="N73" s="3">
        <v>270000</v>
      </c>
      <c r="O73" s="3">
        <v>120000</v>
      </c>
      <c r="P73" s="4">
        <v>0.30769230769230771</v>
      </c>
      <c r="Q73" t="s">
        <v>41</v>
      </c>
      <c r="R73" t="s">
        <v>26</v>
      </c>
    </row>
    <row r="74" spans="1:18" x14ac:dyDescent="0.25">
      <c r="A74">
        <v>73</v>
      </c>
      <c r="B74" s="2">
        <v>45670</v>
      </c>
      <c r="C74" t="s">
        <v>18</v>
      </c>
      <c r="D74" t="s">
        <v>61</v>
      </c>
      <c r="E74" t="s">
        <v>29</v>
      </c>
      <c r="F74" t="s">
        <v>45</v>
      </c>
      <c r="G74" t="s">
        <v>59</v>
      </c>
      <c r="H74" t="s">
        <v>31</v>
      </c>
      <c r="I74" t="s">
        <v>60</v>
      </c>
      <c r="J74">
        <v>3</v>
      </c>
      <c r="K74" s="3">
        <v>390000</v>
      </c>
      <c r="L74" s="3">
        <v>270000</v>
      </c>
      <c r="M74" s="3">
        <v>1170000</v>
      </c>
      <c r="N74" s="3">
        <v>810000</v>
      </c>
      <c r="O74" s="3">
        <v>360000</v>
      </c>
      <c r="P74" s="4">
        <v>0.30769230769230771</v>
      </c>
      <c r="Q74" t="s">
        <v>39</v>
      </c>
      <c r="R74" t="s">
        <v>26</v>
      </c>
    </row>
    <row r="75" spans="1:18" x14ac:dyDescent="0.25">
      <c r="A75">
        <v>74</v>
      </c>
      <c r="B75" s="2">
        <v>45431</v>
      </c>
      <c r="C75" t="s">
        <v>18</v>
      </c>
      <c r="D75" t="s">
        <v>55</v>
      </c>
      <c r="E75" t="s">
        <v>51</v>
      </c>
      <c r="F75" t="s">
        <v>45</v>
      </c>
      <c r="G75" t="s">
        <v>36</v>
      </c>
      <c r="H75" t="s">
        <v>37</v>
      </c>
      <c r="I75" t="s">
        <v>38</v>
      </c>
      <c r="J75">
        <v>2</v>
      </c>
      <c r="K75" s="3">
        <v>520000</v>
      </c>
      <c r="L75" s="3">
        <v>365000</v>
      </c>
      <c r="M75" s="3">
        <v>1040000</v>
      </c>
      <c r="N75" s="3">
        <v>730000</v>
      </c>
      <c r="O75" s="3">
        <v>310000</v>
      </c>
      <c r="P75" s="4">
        <v>0.29807692307692307</v>
      </c>
      <c r="Q75" t="s">
        <v>33</v>
      </c>
      <c r="R75" t="s">
        <v>26</v>
      </c>
    </row>
    <row r="76" spans="1:18" x14ac:dyDescent="0.25">
      <c r="A76">
        <v>75</v>
      </c>
      <c r="B76" s="2">
        <v>45707</v>
      </c>
      <c r="C76" t="s">
        <v>18</v>
      </c>
      <c r="D76" t="s">
        <v>34</v>
      </c>
      <c r="E76" t="s">
        <v>35</v>
      </c>
      <c r="F76" t="s">
        <v>45</v>
      </c>
      <c r="G76" t="s">
        <v>30</v>
      </c>
      <c r="H76" t="s">
        <v>31</v>
      </c>
      <c r="I76" t="s">
        <v>32</v>
      </c>
      <c r="J76">
        <v>2</v>
      </c>
      <c r="K76" s="3">
        <v>115000</v>
      </c>
      <c r="L76" s="3">
        <v>68000</v>
      </c>
      <c r="M76" s="3">
        <v>230000</v>
      </c>
      <c r="N76" s="3">
        <v>136000</v>
      </c>
      <c r="O76" s="3">
        <v>94000</v>
      </c>
      <c r="P76" s="4">
        <v>0.40869565217391313</v>
      </c>
      <c r="Q76" t="s">
        <v>41</v>
      </c>
      <c r="R76" t="s">
        <v>26</v>
      </c>
    </row>
    <row r="77" spans="1:18" x14ac:dyDescent="0.25">
      <c r="A77">
        <v>76</v>
      </c>
      <c r="B77" s="2">
        <v>45345</v>
      </c>
      <c r="C77" t="s">
        <v>27</v>
      </c>
      <c r="D77" t="s">
        <v>28</v>
      </c>
      <c r="E77" t="s">
        <v>29</v>
      </c>
      <c r="F77" t="s">
        <v>45</v>
      </c>
      <c r="G77" t="s">
        <v>52</v>
      </c>
      <c r="H77" t="s">
        <v>53</v>
      </c>
      <c r="I77" t="s">
        <v>54</v>
      </c>
      <c r="J77">
        <v>1</v>
      </c>
      <c r="K77" s="3">
        <v>220000</v>
      </c>
      <c r="L77" s="3">
        <v>145000</v>
      </c>
      <c r="M77" s="3">
        <v>220000</v>
      </c>
      <c r="N77" s="3">
        <v>145000</v>
      </c>
      <c r="O77" s="3">
        <v>75000</v>
      </c>
      <c r="P77" s="4">
        <v>0.34090909090909088</v>
      </c>
      <c r="Q77" t="s">
        <v>25</v>
      </c>
      <c r="R77" t="s">
        <v>26</v>
      </c>
    </row>
    <row r="78" spans="1:18" x14ac:dyDescent="0.25">
      <c r="A78">
        <v>77</v>
      </c>
      <c r="B78" s="2">
        <v>45858</v>
      </c>
      <c r="C78" t="s">
        <v>27</v>
      </c>
      <c r="D78" t="s">
        <v>50</v>
      </c>
      <c r="E78" t="s">
        <v>51</v>
      </c>
      <c r="F78" t="s">
        <v>21</v>
      </c>
      <c r="G78" t="s">
        <v>43</v>
      </c>
      <c r="H78" t="s">
        <v>37</v>
      </c>
      <c r="I78" t="s">
        <v>44</v>
      </c>
      <c r="J78">
        <v>2</v>
      </c>
      <c r="K78" s="3">
        <v>310000</v>
      </c>
      <c r="L78" s="3">
        <v>210000</v>
      </c>
      <c r="M78" s="3">
        <v>620000</v>
      </c>
      <c r="N78" s="3">
        <v>420000</v>
      </c>
      <c r="O78" s="3">
        <v>200000</v>
      </c>
      <c r="P78" s="4">
        <v>0.32258064516129031</v>
      </c>
      <c r="Q78" t="s">
        <v>33</v>
      </c>
      <c r="R78" t="s">
        <v>26</v>
      </c>
    </row>
    <row r="79" spans="1:18" x14ac:dyDescent="0.25">
      <c r="A79">
        <v>78</v>
      </c>
      <c r="B79" s="2">
        <v>45982</v>
      </c>
      <c r="C79" t="s">
        <v>18</v>
      </c>
      <c r="D79" t="s">
        <v>19</v>
      </c>
      <c r="E79" t="s">
        <v>20</v>
      </c>
      <c r="F79" t="s">
        <v>45</v>
      </c>
      <c r="G79" t="s">
        <v>46</v>
      </c>
      <c r="H79" t="s">
        <v>47</v>
      </c>
      <c r="I79" t="s">
        <v>48</v>
      </c>
      <c r="J79">
        <v>4</v>
      </c>
      <c r="K79" s="3">
        <v>24000</v>
      </c>
      <c r="L79" s="3">
        <v>9500</v>
      </c>
      <c r="M79" s="3">
        <v>96000</v>
      </c>
      <c r="N79" s="3">
        <v>38000</v>
      </c>
      <c r="O79" s="3">
        <v>58000</v>
      </c>
      <c r="P79" s="4">
        <v>0.60416666666666663</v>
      </c>
      <c r="Q79" t="s">
        <v>25</v>
      </c>
      <c r="R79" t="s">
        <v>26</v>
      </c>
    </row>
    <row r="80" spans="1:18" x14ac:dyDescent="0.25">
      <c r="A80">
        <v>79</v>
      </c>
      <c r="B80" s="2">
        <v>45374</v>
      </c>
      <c r="C80" t="s">
        <v>18</v>
      </c>
      <c r="D80" t="s">
        <v>42</v>
      </c>
      <c r="E80" t="s">
        <v>29</v>
      </c>
      <c r="F80" t="s">
        <v>21</v>
      </c>
      <c r="G80" t="s">
        <v>22</v>
      </c>
      <c r="H80" t="s">
        <v>23</v>
      </c>
      <c r="I80" t="s">
        <v>24</v>
      </c>
      <c r="J80">
        <v>1</v>
      </c>
      <c r="K80" s="3">
        <v>780000</v>
      </c>
      <c r="L80" s="3">
        <v>590000</v>
      </c>
      <c r="M80" s="3">
        <v>780000</v>
      </c>
      <c r="N80" s="3">
        <v>590000</v>
      </c>
      <c r="O80" s="3">
        <v>190000</v>
      </c>
      <c r="P80" s="4">
        <v>0.24358974358974361</v>
      </c>
      <c r="Q80" t="s">
        <v>39</v>
      </c>
      <c r="R80" t="s">
        <v>26</v>
      </c>
    </row>
    <row r="81" spans="1:18" x14ac:dyDescent="0.25">
      <c r="A81">
        <v>80</v>
      </c>
      <c r="B81" s="2">
        <v>45318</v>
      </c>
      <c r="C81" t="s">
        <v>18</v>
      </c>
      <c r="D81" t="s">
        <v>40</v>
      </c>
      <c r="E81" t="s">
        <v>35</v>
      </c>
      <c r="F81" t="s">
        <v>45</v>
      </c>
      <c r="G81" t="s">
        <v>22</v>
      </c>
      <c r="H81" t="s">
        <v>23</v>
      </c>
      <c r="I81" t="s">
        <v>24</v>
      </c>
      <c r="J81">
        <v>3</v>
      </c>
      <c r="K81" s="3">
        <v>185000</v>
      </c>
      <c r="L81" s="3">
        <v>108000</v>
      </c>
      <c r="M81" s="3">
        <v>555000</v>
      </c>
      <c r="N81" s="3">
        <v>324000</v>
      </c>
      <c r="O81" s="3">
        <v>231000</v>
      </c>
      <c r="P81" s="4">
        <v>0.41621621621621618</v>
      </c>
      <c r="Q81" t="s">
        <v>33</v>
      </c>
      <c r="R81" t="s">
        <v>26</v>
      </c>
    </row>
    <row r="82" spans="1:18" x14ac:dyDescent="0.25">
      <c r="A82">
        <v>81</v>
      </c>
      <c r="B82" s="2">
        <v>45392</v>
      </c>
      <c r="C82" t="s">
        <v>27</v>
      </c>
      <c r="D82" t="s">
        <v>40</v>
      </c>
      <c r="E82" t="s">
        <v>35</v>
      </c>
      <c r="F82" t="s">
        <v>45</v>
      </c>
      <c r="G82" t="s">
        <v>22</v>
      </c>
      <c r="H82" t="s">
        <v>23</v>
      </c>
      <c r="I82" t="s">
        <v>24</v>
      </c>
      <c r="J82">
        <v>3</v>
      </c>
      <c r="K82" s="3">
        <v>185000</v>
      </c>
      <c r="L82" s="3">
        <v>108000</v>
      </c>
      <c r="M82" s="3">
        <v>555000</v>
      </c>
      <c r="N82" s="3">
        <v>324000</v>
      </c>
      <c r="O82" s="3">
        <v>231000</v>
      </c>
      <c r="P82" s="4">
        <v>0.41621621621621618</v>
      </c>
      <c r="Q82" t="s">
        <v>33</v>
      </c>
      <c r="R82" t="s">
        <v>26</v>
      </c>
    </row>
    <row r="83" spans="1:18" x14ac:dyDescent="0.25">
      <c r="A83">
        <v>82</v>
      </c>
      <c r="B83" s="2">
        <v>45363</v>
      </c>
      <c r="C83" t="s">
        <v>18</v>
      </c>
      <c r="D83" t="s">
        <v>49</v>
      </c>
      <c r="E83" t="s">
        <v>20</v>
      </c>
      <c r="F83" t="s">
        <v>45</v>
      </c>
      <c r="G83" t="s">
        <v>56</v>
      </c>
      <c r="H83" t="s">
        <v>57</v>
      </c>
      <c r="I83" t="s">
        <v>58</v>
      </c>
      <c r="J83">
        <v>3</v>
      </c>
      <c r="K83" s="3">
        <v>45000</v>
      </c>
      <c r="L83" s="3">
        <v>21000</v>
      </c>
      <c r="M83" s="3">
        <v>135000</v>
      </c>
      <c r="N83" s="3">
        <v>63000</v>
      </c>
      <c r="O83" s="3">
        <v>72000</v>
      </c>
      <c r="P83" s="4">
        <v>0.53333333333333333</v>
      </c>
      <c r="Q83" t="s">
        <v>41</v>
      </c>
      <c r="R83" t="s">
        <v>26</v>
      </c>
    </row>
    <row r="84" spans="1:18" x14ac:dyDescent="0.25">
      <c r="A84">
        <v>83</v>
      </c>
      <c r="B84" s="2">
        <v>45306</v>
      </c>
      <c r="C84" t="s">
        <v>27</v>
      </c>
      <c r="D84" t="s">
        <v>42</v>
      </c>
      <c r="E84" t="s">
        <v>29</v>
      </c>
      <c r="F84" t="s">
        <v>45</v>
      </c>
      <c r="G84" t="s">
        <v>59</v>
      </c>
      <c r="H84" t="s">
        <v>31</v>
      </c>
      <c r="I84" t="s">
        <v>60</v>
      </c>
      <c r="J84">
        <v>4</v>
      </c>
      <c r="K84" s="3">
        <v>780000</v>
      </c>
      <c r="L84" s="3">
        <v>590000</v>
      </c>
      <c r="M84" s="3">
        <v>3120000</v>
      </c>
      <c r="N84" s="3">
        <v>2360000</v>
      </c>
      <c r="O84" s="3">
        <v>760000</v>
      </c>
      <c r="P84" s="4">
        <v>0.24358974358974361</v>
      </c>
      <c r="Q84" t="s">
        <v>41</v>
      </c>
      <c r="R84" t="s">
        <v>26</v>
      </c>
    </row>
    <row r="85" spans="1:18" x14ac:dyDescent="0.25">
      <c r="A85">
        <v>84</v>
      </c>
      <c r="B85" s="2">
        <v>45639</v>
      </c>
      <c r="C85" t="s">
        <v>27</v>
      </c>
      <c r="D85" t="s">
        <v>62</v>
      </c>
      <c r="E85" t="s">
        <v>20</v>
      </c>
      <c r="F85" t="s">
        <v>45</v>
      </c>
      <c r="G85" t="s">
        <v>52</v>
      </c>
      <c r="H85" t="s">
        <v>53</v>
      </c>
      <c r="I85" t="s">
        <v>54</v>
      </c>
      <c r="J85">
        <v>1</v>
      </c>
      <c r="K85" s="3">
        <v>28000</v>
      </c>
      <c r="L85" s="3">
        <v>11000</v>
      </c>
      <c r="M85" s="3">
        <v>28000</v>
      </c>
      <c r="N85" s="3">
        <v>11000</v>
      </c>
      <c r="O85" s="3">
        <v>17000</v>
      </c>
      <c r="P85" s="4">
        <v>0.6071428571428571</v>
      </c>
      <c r="Q85" t="s">
        <v>41</v>
      </c>
      <c r="R85" t="s">
        <v>26</v>
      </c>
    </row>
    <row r="86" spans="1:18" x14ac:dyDescent="0.25">
      <c r="A86">
        <v>85</v>
      </c>
      <c r="B86" s="2">
        <v>45629</v>
      </c>
      <c r="C86" t="s">
        <v>27</v>
      </c>
      <c r="D86" t="s">
        <v>61</v>
      </c>
      <c r="E86" t="s">
        <v>29</v>
      </c>
      <c r="F86" t="s">
        <v>21</v>
      </c>
      <c r="G86" t="s">
        <v>43</v>
      </c>
      <c r="H86" t="s">
        <v>37</v>
      </c>
      <c r="I86" t="s">
        <v>44</v>
      </c>
      <c r="J86">
        <v>3</v>
      </c>
      <c r="K86" s="3">
        <v>390000</v>
      </c>
      <c r="L86" s="3">
        <v>270000</v>
      </c>
      <c r="M86" s="3">
        <v>1170000</v>
      </c>
      <c r="N86" s="3">
        <v>810000</v>
      </c>
      <c r="O86" s="3">
        <v>360000</v>
      </c>
      <c r="P86" s="4">
        <v>0.30769230769230771</v>
      </c>
      <c r="Q86" t="s">
        <v>25</v>
      </c>
      <c r="R86" t="s">
        <v>26</v>
      </c>
    </row>
    <row r="87" spans="1:18" x14ac:dyDescent="0.25">
      <c r="A87">
        <v>86</v>
      </c>
      <c r="B87" s="2">
        <v>45311</v>
      </c>
      <c r="C87" t="s">
        <v>18</v>
      </c>
      <c r="D87" t="s">
        <v>19</v>
      </c>
      <c r="E87" t="s">
        <v>20</v>
      </c>
      <c r="F87" t="s">
        <v>21</v>
      </c>
      <c r="G87" t="s">
        <v>59</v>
      </c>
      <c r="H87" t="s">
        <v>31</v>
      </c>
      <c r="I87" t="s">
        <v>60</v>
      </c>
      <c r="J87">
        <v>2</v>
      </c>
      <c r="K87" s="3">
        <v>24000</v>
      </c>
      <c r="L87" s="3">
        <v>9500</v>
      </c>
      <c r="M87" s="3">
        <v>48000</v>
      </c>
      <c r="N87" s="3">
        <v>19000</v>
      </c>
      <c r="O87" s="3">
        <v>29000</v>
      </c>
      <c r="P87" s="4">
        <v>0.60416666666666663</v>
      </c>
      <c r="Q87" t="s">
        <v>25</v>
      </c>
      <c r="R87" t="s">
        <v>26</v>
      </c>
    </row>
    <row r="88" spans="1:18" x14ac:dyDescent="0.25">
      <c r="A88">
        <v>87</v>
      </c>
      <c r="B88" s="2">
        <v>45613</v>
      </c>
      <c r="C88" t="s">
        <v>18</v>
      </c>
      <c r="D88" t="s">
        <v>34</v>
      </c>
      <c r="E88" t="s">
        <v>35</v>
      </c>
      <c r="F88" t="s">
        <v>21</v>
      </c>
      <c r="G88" t="s">
        <v>56</v>
      </c>
      <c r="H88" t="s">
        <v>57</v>
      </c>
      <c r="I88" t="s">
        <v>58</v>
      </c>
      <c r="J88">
        <v>4</v>
      </c>
      <c r="K88" s="3">
        <v>115000</v>
      </c>
      <c r="L88" s="3">
        <v>68000</v>
      </c>
      <c r="M88" s="3">
        <v>460000</v>
      </c>
      <c r="N88" s="3">
        <v>272000</v>
      </c>
      <c r="O88" s="3">
        <v>188000</v>
      </c>
      <c r="P88" s="4">
        <v>0.40869565217391313</v>
      </c>
      <c r="Q88" t="s">
        <v>41</v>
      </c>
      <c r="R88" t="s">
        <v>26</v>
      </c>
    </row>
    <row r="89" spans="1:18" x14ac:dyDescent="0.25">
      <c r="A89">
        <v>88</v>
      </c>
      <c r="B89" s="2">
        <v>45311</v>
      </c>
      <c r="C89" t="s">
        <v>27</v>
      </c>
      <c r="D89" t="s">
        <v>19</v>
      </c>
      <c r="E89" t="s">
        <v>20</v>
      </c>
      <c r="F89" t="s">
        <v>21</v>
      </c>
      <c r="G89" t="s">
        <v>43</v>
      </c>
      <c r="H89" t="s">
        <v>37</v>
      </c>
      <c r="I89" t="s">
        <v>44</v>
      </c>
      <c r="J89">
        <v>3</v>
      </c>
      <c r="K89" s="3">
        <v>24000</v>
      </c>
      <c r="L89" s="3">
        <v>9500</v>
      </c>
      <c r="M89" s="3">
        <v>72000</v>
      </c>
      <c r="N89" s="3">
        <v>28500</v>
      </c>
      <c r="O89" s="3">
        <v>43500</v>
      </c>
      <c r="P89" s="4">
        <v>0.60416666666666663</v>
      </c>
      <c r="Q89" t="s">
        <v>39</v>
      </c>
      <c r="R89" t="s">
        <v>26</v>
      </c>
    </row>
    <row r="90" spans="1:18" x14ac:dyDescent="0.25">
      <c r="A90">
        <v>89</v>
      </c>
      <c r="B90" s="2">
        <v>45620</v>
      </c>
      <c r="C90" t="s">
        <v>18</v>
      </c>
      <c r="D90" t="s">
        <v>40</v>
      </c>
      <c r="E90" t="s">
        <v>35</v>
      </c>
      <c r="F90" t="s">
        <v>45</v>
      </c>
      <c r="G90" t="s">
        <v>22</v>
      </c>
      <c r="H90" t="s">
        <v>23</v>
      </c>
      <c r="I90" t="s">
        <v>24</v>
      </c>
      <c r="J90">
        <v>4</v>
      </c>
      <c r="K90" s="3">
        <v>185000</v>
      </c>
      <c r="L90" s="3">
        <v>108000</v>
      </c>
      <c r="M90" s="3">
        <v>740000</v>
      </c>
      <c r="N90" s="3">
        <v>432000</v>
      </c>
      <c r="O90" s="3">
        <v>308000</v>
      </c>
      <c r="P90" s="4">
        <v>0.41621621621621618</v>
      </c>
      <c r="Q90" t="s">
        <v>41</v>
      </c>
      <c r="R90" t="s">
        <v>26</v>
      </c>
    </row>
    <row r="91" spans="1:18" x14ac:dyDescent="0.25">
      <c r="A91">
        <v>90</v>
      </c>
      <c r="B91" s="2">
        <v>45842</v>
      </c>
      <c r="C91" t="s">
        <v>27</v>
      </c>
      <c r="D91" t="s">
        <v>61</v>
      </c>
      <c r="E91" t="s">
        <v>29</v>
      </c>
      <c r="F91" t="s">
        <v>21</v>
      </c>
      <c r="G91" t="s">
        <v>30</v>
      </c>
      <c r="H91" t="s">
        <v>31</v>
      </c>
      <c r="I91" t="s">
        <v>32</v>
      </c>
      <c r="J91">
        <v>3</v>
      </c>
      <c r="K91" s="3">
        <v>390000</v>
      </c>
      <c r="L91" s="3">
        <v>270000</v>
      </c>
      <c r="M91" s="3">
        <v>1170000</v>
      </c>
      <c r="N91" s="3">
        <v>810000</v>
      </c>
      <c r="O91" s="3">
        <v>360000</v>
      </c>
      <c r="P91" s="4">
        <v>0.30769230769230771</v>
      </c>
      <c r="Q91" t="s">
        <v>41</v>
      </c>
      <c r="R91" t="s">
        <v>26</v>
      </c>
    </row>
    <row r="92" spans="1:18" x14ac:dyDescent="0.25">
      <c r="A92">
        <v>91</v>
      </c>
      <c r="B92" s="2">
        <v>45853</v>
      </c>
      <c r="C92" t="s">
        <v>18</v>
      </c>
      <c r="D92" t="s">
        <v>61</v>
      </c>
      <c r="E92" t="s">
        <v>29</v>
      </c>
      <c r="F92" t="s">
        <v>45</v>
      </c>
      <c r="G92" t="s">
        <v>30</v>
      </c>
      <c r="H92" t="s">
        <v>31</v>
      </c>
      <c r="I92" t="s">
        <v>32</v>
      </c>
      <c r="J92">
        <v>4</v>
      </c>
      <c r="K92" s="3">
        <v>390000</v>
      </c>
      <c r="L92" s="3">
        <v>270000</v>
      </c>
      <c r="M92" s="3">
        <v>1560000</v>
      </c>
      <c r="N92" s="3">
        <v>1080000</v>
      </c>
      <c r="O92" s="3">
        <v>480000</v>
      </c>
      <c r="P92" s="4">
        <v>0.30769230769230771</v>
      </c>
      <c r="Q92" t="s">
        <v>33</v>
      </c>
      <c r="R92" t="s">
        <v>26</v>
      </c>
    </row>
    <row r="93" spans="1:18" x14ac:dyDescent="0.25">
      <c r="A93">
        <v>92</v>
      </c>
      <c r="B93" s="2">
        <v>45714</v>
      </c>
      <c r="C93" t="s">
        <v>18</v>
      </c>
      <c r="D93" t="s">
        <v>55</v>
      </c>
      <c r="E93" t="s">
        <v>51</v>
      </c>
      <c r="F93" t="s">
        <v>21</v>
      </c>
      <c r="G93" t="s">
        <v>56</v>
      </c>
      <c r="H93" t="s">
        <v>57</v>
      </c>
      <c r="I93" t="s">
        <v>58</v>
      </c>
      <c r="J93">
        <v>2</v>
      </c>
      <c r="K93" s="3">
        <v>520000</v>
      </c>
      <c r="L93" s="3">
        <v>365000</v>
      </c>
      <c r="M93" s="3">
        <v>1040000</v>
      </c>
      <c r="N93" s="3">
        <v>730000</v>
      </c>
      <c r="O93" s="3">
        <v>310000</v>
      </c>
      <c r="P93" s="4">
        <v>0.29807692307692307</v>
      </c>
      <c r="Q93" t="s">
        <v>25</v>
      </c>
      <c r="R93" t="s">
        <v>26</v>
      </c>
    </row>
    <row r="94" spans="1:18" x14ac:dyDescent="0.25">
      <c r="A94">
        <v>93</v>
      </c>
      <c r="B94" s="2">
        <v>46017</v>
      </c>
      <c r="C94" t="s">
        <v>27</v>
      </c>
      <c r="D94" t="s">
        <v>40</v>
      </c>
      <c r="E94" t="s">
        <v>35</v>
      </c>
      <c r="F94" t="s">
        <v>45</v>
      </c>
      <c r="G94" t="s">
        <v>59</v>
      </c>
      <c r="H94" t="s">
        <v>31</v>
      </c>
      <c r="I94" t="s">
        <v>60</v>
      </c>
      <c r="J94">
        <v>4</v>
      </c>
      <c r="K94" s="3">
        <v>185000</v>
      </c>
      <c r="L94" s="3">
        <v>108000</v>
      </c>
      <c r="M94" s="3">
        <v>740000</v>
      </c>
      <c r="N94" s="3">
        <v>432000</v>
      </c>
      <c r="O94" s="3">
        <v>308000</v>
      </c>
      <c r="P94" s="4">
        <v>0.41621621621621618</v>
      </c>
      <c r="Q94" t="s">
        <v>41</v>
      </c>
      <c r="R94" t="s">
        <v>26</v>
      </c>
    </row>
    <row r="95" spans="1:18" x14ac:dyDescent="0.25">
      <c r="A95">
        <v>94</v>
      </c>
      <c r="B95" s="2">
        <v>45470</v>
      </c>
      <c r="C95" t="s">
        <v>27</v>
      </c>
      <c r="D95" t="s">
        <v>55</v>
      </c>
      <c r="E95" t="s">
        <v>51</v>
      </c>
      <c r="F95" t="s">
        <v>21</v>
      </c>
      <c r="G95" t="s">
        <v>56</v>
      </c>
      <c r="H95" t="s">
        <v>57</v>
      </c>
      <c r="I95" t="s">
        <v>58</v>
      </c>
      <c r="J95">
        <v>4</v>
      </c>
      <c r="K95" s="3">
        <v>520000</v>
      </c>
      <c r="L95" s="3">
        <v>365000</v>
      </c>
      <c r="M95" s="3">
        <v>2080000</v>
      </c>
      <c r="N95" s="3">
        <v>1460000</v>
      </c>
      <c r="O95" s="3">
        <v>620000</v>
      </c>
      <c r="P95" s="4">
        <v>0.29807692307692307</v>
      </c>
      <c r="Q95" t="s">
        <v>41</v>
      </c>
      <c r="R95" t="s">
        <v>26</v>
      </c>
    </row>
    <row r="96" spans="1:18" x14ac:dyDescent="0.25">
      <c r="A96">
        <v>95</v>
      </c>
      <c r="B96" s="2">
        <v>45897</v>
      </c>
      <c r="C96" t="s">
        <v>27</v>
      </c>
      <c r="D96" t="s">
        <v>28</v>
      </c>
      <c r="E96" t="s">
        <v>29</v>
      </c>
      <c r="F96" t="s">
        <v>21</v>
      </c>
      <c r="G96" t="s">
        <v>52</v>
      </c>
      <c r="H96" t="s">
        <v>53</v>
      </c>
      <c r="I96" t="s">
        <v>54</v>
      </c>
      <c r="J96">
        <v>4</v>
      </c>
      <c r="K96" s="3">
        <v>220000</v>
      </c>
      <c r="L96" s="3">
        <v>145000</v>
      </c>
      <c r="M96" s="3">
        <v>880000</v>
      </c>
      <c r="N96" s="3">
        <v>580000</v>
      </c>
      <c r="O96" s="3">
        <v>300000</v>
      </c>
      <c r="P96" s="4">
        <v>0.34090909090909088</v>
      </c>
      <c r="Q96" t="s">
        <v>33</v>
      </c>
      <c r="R96" t="s">
        <v>26</v>
      </c>
    </row>
    <row r="97" spans="1:18" x14ac:dyDescent="0.25">
      <c r="A97">
        <v>96</v>
      </c>
      <c r="B97" s="2">
        <v>45401</v>
      </c>
      <c r="C97" t="s">
        <v>27</v>
      </c>
      <c r="D97" t="s">
        <v>62</v>
      </c>
      <c r="E97" t="s">
        <v>20</v>
      </c>
      <c r="F97" t="s">
        <v>21</v>
      </c>
      <c r="G97" t="s">
        <v>22</v>
      </c>
      <c r="H97" t="s">
        <v>23</v>
      </c>
      <c r="I97" t="s">
        <v>24</v>
      </c>
      <c r="J97">
        <v>3</v>
      </c>
      <c r="K97" s="3">
        <v>28000</v>
      </c>
      <c r="L97" s="3">
        <v>11000</v>
      </c>
      <c r="M97" s="3">
        <v>84000</v>
      </c>
      <c r="N97" s="3">
        <v>33000</v>
      </c>
      <c r="O97" s="3">
        <v>51000</v>
      </c>
      <c r="P97" s="4">
        <v>0.6071428571428571</v>
      </c>
      <c r="Q97" t="s">
        <v>25</v>
      </c>
      <c r="R97" t="s">
        <v>26</v>
      </c>
    </row>
    <row r="98" spans="1:18" x14ac:dyDescent="0.25">
      <c r="A98">
        <v>97</v>
      </c>
      <c r="B98" s="2">
        <v>45577</v>
      </c>
      <c r="C98" t="s">
        <v>18</v>
      </c>
      <c r="D98" t="s">
        <v>49</v>
      </c>
      <c r="E98" t="s">
        <v>20</v>
      </c>
      <c r="F98" t="s">
        <v>45</v>
      </c>
      <c r="G98" t="s">
        <v>22</v>
      </c>
      <c r="H98" t="s">
        <v>23</v>
      </c>
      <c r="I98" t="s">
        <v>24</v>
      </c>
      <c r="J98">
        <v>2</v>
      </c>
      <c r="K98" s="3">
        <v>45000</v>
      </c>
      <c r="L98" s="3">
        <v>21000</v>
      </c>
      <c r="M98" s="3">
        <v>90000</v>
      </c>
      <c r="N98" s="3">
        <v>42000</v>
      </c>
      <c r="O98" s="3">
        <v>48000</v>
      </c>
      <c r="P98" s="4">
        <v>0.53333333333333333</v>
      </c>
      <c r="Q98" t="s">
        <v>25</v>
      </c>
      <c r="R98" t="s">
        <v>26</v>
      </c>
    </row>
    <row r="99" spans="1:18" x14ac:dyDescent="0.25">
      <c r="A99">
        <v>98</v>
      </c>
      <c r="B99" s="2">
        <v>45860</v>
      </c>
      <c r="C99" t="s">
        <v>27</v>
      </c>
      <c r="D99" t="s">
        <v>40</v>
      </c>
      <c r="E99" t="s">
        <v>35</v>
      </c>
      <c r="F99" t="s">
        <v>45</v>
      </c>
      <c r="G99" t="s">
        <v>59</v>
      </c>
      <c r="H99" t="s">
        <v>31</v>
      </c>
      <c r="I99" t="s">
        <v>60</v>
      </c>
      <c r="J99">
        <v>1</v>
      </c>
      <c r="K99" s="3">
        <v>185000</v>
      </c>
      <c r="L99" s="3">
        <v>108000</v>
      </c>
      <c r="M99" s="3">
        <v>185000</v>
      </c>
      <c r="N99" s="3">
        <v>108000</v>
      </c>
      <c r="O99" s="3">
        <v>77000</v>
      </c>
      <c r="P99" s="4">
        <v>0.41621621621621618</v>
      </c>
      <c r="Q99" t="s">
        <v>25</v>
      </c>
      <c r="R99" t="s">
        <v>26</v>
      </c>
    </row>
    <row r="100" spans="1:18" x14ac:dyDescent="0.25">
      <c r="A100">
        <v>99</v>
      </c>
      <c r="B100" s="2">
        <v>46012</v>
      </c>
      <c r="C100" t="s">
        <v>18</v>
      </c>
      <c r="D100" t="s">
        <v>55</v>
      </c>
      <c r="E100" t="s">
        <v>51</v>
      </c>
      <c r="F100" t="s">
        <v>45</v>
      </c>
      <c r="G100" t="s">
        <v>36</v>
      </c>
      <c r="H100" t="s">
        <v>37</v>
      </c>
      <c r="I100" t="s">
        <v>38</v>
      </c>
      <c r="J100">
        <v>4</v>
      </c>
      <c r="K100" s="3">
        <v>520000</v>
      </c>
      <c r="L100" s="3">
        <v>365000</v>
      </c>
      <c r="M100" s="3">
        <v>2080000</v>
      </c>
      <c r="N100" s="3">
        <v>1460000</v>
      </c>
      <c r="O100" s="3">
        <v>620000</v>
      </c>
      <c r="P100" s="4">
        <v>0.29807692307692307</v>
      </c>
      <c r="Q100" t="s">
        <v>41</v>
      </c>
      <c r="R100" t="s">
        <v>26</v>
      </c>
    </row>
    <row r="101" spans="1:18" x14ac:dyDescent="0.25">
      <c r="A101">
        <v>100</v>
      </c>
      <c r="B101" s="2">
        <v>45729</v>
      </c>
      <c r="C101" t="s">
        <v>27</v>
      </c>
      <c r="D101" t="s">
        <v>55</v>
      </c>
      <c r="E101" t="s">
        <v>51</v>
      </c>
      <c r="F101" t="s">
        <v>21</v>
      </c>
      <c r="G101" t="s">
        <v>22</v>
      </c>
      <c r="H101" t="s">
        <v>23</v>
      </c>
      <c r="I101" t="s">
        <v>24</v>
      </c>
      <c r="J101">
        <v>4</v>
      </c>
      <c r="K101" s="3">
        <v>520000</v>
      </c>
      <c r="L101" s="3">
        <v>365000</v>
      </c>
      <c r="M101" s="3">
        <v>2080000</v>
      </c>
      <c r="N101" s="3">
        <v>1460000</v>
      </c>
      <c r="O101" s="3">
        <v>620000</v>
      </c>
      <c r="P101" s="4">
        <v>0.29807692307692307</v>
      </c>
      <c r="Q101" t="s">
        <v>41</v>
      </c>
      <c r="R101" t="s">
        <v>26</v>
      </c>
    </row>
    <row r="102" spans="1:18" x14ac:dyDescent="0.25">
      <c r="A102">
        <v>101</v>
      </c>
      <c r="B102" s="2">
        <v>45517</v>
      </c>
      <c r="C102" t="s">
        <v>18</v>
      </c>
      <c r="D102" t="s">
        <v>62</v>
      </c>
      <c r="E102" t="s">
        <v>20</v>
      </c>
      <c r="F102" t="s">
        <v>21</v>
      </c>
      <c r="G102" t="s">
        <v>52</v>
      </c>
      <c r="H102" t="s">
        <v>53</v>
      </c>
      <c r="I102" t="s">
        <v>54</v>
      </c>
      <c r="J102">
        <v>2</v>
      </c>
      <c r="K102" s="3">
        <v>28000</v>
      </c>
      <c r="L102" s="3">
        <v>11000</v>
      </c>
      <c r="M102" s="3">
        <v>56000</v>
      </c>
      <c r="N102" s="3">
        <v>22000</v>
      </c>
      <c r="O102" s="3">
        <v>34000</v>
      </c>
      <c r="P102" s="4">
        <v>0.6071428571428571</v>
      </c>
      <c r="Q102" t="s">
        <v>39</v>
      </c>
      <c r="R102" t="s">
        <v>26</v>
      </c>
    </row>
    <row r="103" spans="1:18" x14ac:dyDescent="0.25">
      <c r="A103">
        <v>102</v>
      </c>
      <c r="B103" s="2">
        <v>45833</v>
      </c>
      <c r="C103" t="s">
        <v>27</v>
      </c>
      <c r="D103" t="s">
        <v>34</v>
      </c>
      <c r="E103" t="s">
        <v>35</v>
      </c>
      <c r="F103" t="s">
        <v>21</v>
      </c>
      <c r="G103" t="s">
        <v>22</v>
      </c>
      <c r="H103" t="s">
        <v>23</v>
      </c>
      <c r="I103" t="s">
        <v>24</v>
      </c>
      <c r="J103">
        <v>2</v>
      </c>
      <c r="K103" s="3">
        <v>115000</v>
      </c>
      <c r="L103" s="3">
        <v>68000</v>
      </c>
      <c r="M103" s="3">
        <v>230000</v>
      </c>
      <c r="N103" s="3">
        <v>136000</v>
      </c>
      <c r="O103" s="3">
        <v>94000</v>
      </c>
      <c r="P103" s="4">
        <v>0.40869565217391313</v>
      </c>
      <c r="Q103" t="s">
        <v>41</v>
      </c>
      <c r="R103" t="s">
        <v>26</v>
      </c>
    </row>
    <row r="104" spans="1:18" x14ac:dyDescent="0.25">
      <c r="A104">
        <v>103</v>
      </c>
      <c r="B104" s="2">
        <v>45318</v>
      </c>
      <c r="C104" t="s">
        <v>18</v>
      </c>
      <c r="D104" t="s">
        <v>19</v>
      </c>
      <c r="E104" t="s">
        <v>20</v>
      </c>
      <c r="F104" t="s">
        <v>21</v>
      </c>
      <c r="G104" t="s">
        <v>46</v>
      </c>
      <c r="H104" t="s">
        <v>47</v>
      </c>
      <c r="I104" t="s">
        <v>48</v>
      </c>
      <c r="J104">
        <v>3</v>
      </c>
      <c r="K104" s="3">
        <v>24000</v>
      </c>
      <c r="L104" s="3">
        <v>9500</v>
      </c>
      <c r="M104" s="3">
        <v>72000</v>
      </c>
      <c r="N104" s="3">
        <v>28500</v>
      </c>
      <c r="O104" s="3">
        <v>43500</v>
      </c>
      <c r="P104" s="4">
        <v>0.60416666666666663</v>
      </c>
      <c r="Q104" t="s">
        <v>25</v>
      </c>
      <c r="R104" t="s">
        <v>26</v>
      </c>
    </row>
    <row r="105" spans="1:18" x14ac:dyDescent="0.25">
      <c r="A105">
        <v>104</v>
      </c>
      <c r="B105" s="2">
        <v>45441</v>
      </c>
      <c r="C105" t="s">
        <v>27</v>
      </c>
      <c r="D105" t="s">
        <v>61</v>
      </c>
      <c r="E105" t="s">
        <v>29</v>
      </c>
      <c r="F105" t="s">
        <v>21</v>
      </c>
      <c r="G105" t="s">
        <v>22</v>
      </c>
      <c r="H105" t="s">
        <v>23</v>
      </c>
      <c r="I105" t="s">
        <v>24</v>
      </c>
      <c r="J105">
        <v>3</v>
      </c>
      <c r="K105" s="3">
        <v>390000</v>
      </c>
      <c r="L105" s="3">
        <v>270000</v>
      </c>
      <c r="M105" s="3">
        <v>1170000</v>
      </c>
      <c r="N105" s="3">
        <v>810000</v>
      </c>
      <c r="O105" s="3">
        <v>360000</v>
      </c>
      <c r="P105" s="4">
        <v>0.30769230769230771</v>
      </c>
      <c r="Q105" t="s">
        <v>39</v>
      </c>
      <c r="R105" t="s">
        <v>26</v>
      </c>
    </row>
    <row r="106" spans="1:18" x14ac:dyDescent="0.25">
      <c r="A106">
        <v>105</v>
      </c>
      <c r="B106" s="2">
        <v>45486</v>
      </c>
      <c r="C106" t="s">
        <v>18</v>
      </c>
      <c r="D106" t="s">
        <v>34</v>
      </c>
      <c r="E106" t="s">
        <v>35</v>
      </c>
      <c r="F106" t="s">
        <v>45</v>
      </c>
      <c r="G106" t="s">
        <v>52</v>
      </c>
      <c r="H106" t="s">
        <v>53</v>
      </c>
      <c r="I106" t="s">
        <v>54</v>
      </c>
      <c r="J106">
        <v>4</v>
      </c>
      <c r="K106" s="3">
        <v>115000</v>
      </c>
      <c r="L106" s="3">
        <v>68000</v>
      </c>
      <c r="M106" s="3">
        <v>460000</v>
      </c>
      <c r="N106" s="3">
        <v>272000</v>
      </c>
      <c r="O106" s="3">
        <v>188000</v>
      </c>
      <c r="P106" s="4">
        <v>0.40869565217391313</v>
      </c>
      <c r="Q106" t="s">
        <v>25</v>
      </c>
      <c r="R106" t="s">
        <v>26</v>
      </c>
    </row>
    <row r="107" spans="1:18" x14ac:dyDescent="0.25">
      <c r="A107">
        <v>106</v>
      </c>
      <c r="B107" s="2">
        <v>45772</v>
      </c>
      <c r="C107" t="s">
        <v>18</v>
      </c>
      <c r="D107" t="s">
        <v>61</v>
      </c>
      <c r="E107" t="s">
        <v>29</v>
      </c>
      <c r="F107" t="s">
        <v>45</v>
      </c>
      <c r="G107" t="s">
        <v>36</v>
      </c>
      <c r="H107" t="s">
        <v>37</v>
      </c>
      <c r="I107" t="s">
        <v>38</v>
      </c>
      <c r="J107">
        <v>2</v>
      </c>
      <c r="K107" s="3">
        <v>390000</v>
      </c>
      <c r="L107" s="3">
        <v>270000</v>
      </c>
      <c r="M107" s="3">
        <v>780000</v>
      </c>
      <c r="N107" s="3">
        <v>540000</v>
      </c>
      <c r="O107" s="3">
        <v>240000</v>
      </c>
      <c r="P107" s="4">
        <v>0.30769230769230771</v>
      </c>
      <c r="Q107" t="s">
        <v>41</v>
      </c>
      <c r="R107" t="s">
        <v>26</v>
      </c>
    </row>
    <row r="108" spans="1:18" x14ac:dyDescent="0.25">
      <c r="A108">
        <v>107</v>
      </c>
      <c r="B108" s="2">
        <v>45883</v>
      </c>
      <c r="C108" t="s">
        <v>18</v>
      </c>
      <c r="D108" t="s">
        <v>62</v>
      </c>
      <c r="E108" t="s">
        <v>20</v>
      </c>
      <c r="F108" t="s">
        <v>45</v>
      </c>
      <c r="G108" t="s">
        <v>43</v>
      </c>
      <c r="H108" t="s">
        <v>37</v>
      </c>
      <c r="I108" t="s">
        <v>44</v>
      </c>
      <c r="J108">
        <v>2</v>
      </c>
      <c r="K108" s="3">
        <v>28000</v>
      </c>
      <c r="L108" s="3">
        <v>11000</v>
      </c>
      <c r="M108" s="3">
        <v>56000</v>
      </c>
      <c r="N108" s="3">
        <v>22000</v>
      </c>
      <c r="O108" s="3">
        <v>34000</v>
      </c>
      <c r="P108" s="4">
        <v>0.6071428571428571</v>
      </c>
      <c r="Q108" t="s">
        <v>39</v>
      </c>
      <c r="R108" t="s">
        <v>26</v>
      </c>
    </row>
    <row r="109" spans="1:18" x14ac:dyDescent="0.25">
      <c r="A109">
        <v>108</v>
      </c>
      <c r="B109" s="2">
        <v>45491</v>
      </c>
      <c r="C109" t="s">
        <v>27</v>
      </c>
      <c r="D109" t="s">
        <v>40</v>
      </c>
      <c r="E109" t="s">
        <v>35</v>
      </c>
      <c r="F109" t="s">
        <v>21</v>
      </c>
      <c r="G109" t="s">
        <v>22</v>
      </c>
      <c r="H109" t="s">
        <v>23</v>
      </c>
      <c r="I109" t="s">
        <v>24</v>
      </c>
      <c r="J109">
        <v>3</v>
      </c>
      <c r="K109" s="3">
        <v>185000</v>
      </c>
      <c r="L109" s="3">
        <v>108000</v>
      </c>
      <c r="M109" s="3">
        <v>555000</v>
      </c>
      <c r="N109" s="3">
        <v>324000</v>
      </c>
      <c r="O109" s="3">
        <v>231000</v>
      </c>
      <c r="P109" s="4">
        <v>0.41621621621621618</v>
      </c>
      <c r="Q109" t="s">
        <v>41</v>
      </c>
      <c r="R109" t="s">
        <v>26</v>
      </c>
    </row>
    <row r="110" spans="1:18" x14ac:dyDescent="0.25">
      <c r="A110">
        <v>109</v>
      </c>
      <c r="B110" s="2">
        <v>45369</v>
      </c>
      <c r="C110" t="s">
        <v>27</v>
      </c>
      <c r="D110" t="s">
        <v>19</v>
      </c>
      <c r="E110" t="s">
        <v>20</v>
      </c>
      <c r="F110" t="s">
        <v>21</v>
      </c>
      <c r="G110" t="s">
        <v>52</v>
      </c>
      <c r="H110" t="s">
        <v>53</v>
      </c>
      <c r="I110" t="s">
        <v>54</v>
      </c>
      <c r="J110">
        <v>1</v>
      </c>
      <c r="K110" s="3">
        <v>24000</v>
      </c>
      <c r="L110" s="3">
        <v>9500</v>
      </c>
      <c r="M110" s="3">
        <v>24000</v>
      </c>
      <c r="N110" s="3">
        <v>9500</v>
      </c>
      <c r="O110" s="3">
        <v>14500</v>
      </c>
      <c r="P110" s="4">
        <v>0.60416666666666663</v>
      </c>
      <c r="Q110" t="s">
        <v>39</v>
      </c>
      <c r="R110" t="s">
        <v>26</v>
      </c>
    </row>
    <row r="111" spans="1:18" x14ac:dyDescent="0.25">
      <c r="A111">
        <v>110</v>
      </c>
      <c r="B111" s="2">
        <v>45546</v>
      </c>
      <c r="C111" t="s">
        <v>27</v>
      </c>
      <c r="D111" t="s">
        <v>61</v>
      </c>
      <c r="E111" t="s">
        <v>29</v>
      </c>
      <c r="F111" t="s">
        <v>45</v>
      </c>
      <c r="G111" t="s">
        <v>30</v>
      </c>
      <c r="H111" t="s">
        <v>31</v>
      </c>
      <c r="I111" t="s">
        <v>32</v>
      </c>
      <c r="J111">
        <v>1</v>
      </c>
      <c r="K111" s="3">
        <v>390000</v>
      </c>
      <c r="L111" s="3">
        <v>270000</v>
      </c>
      <c r="M111" s="3">
        <v>390000</v>
      </c>
      <c r="N111" s="3">
        <v>270000</v>
      </c>
      <c r="O111" s="3">
        <v>120000</v>
      </c>
      <c r="P111" s="4">
        <v>0.30769230769230771</v>
      </c>
      <c r="Q111" t="s">
        <v>33</v>
      </c>
      <c r="R111" t="s">
        <v>26</v>
      </c>
    </row>
    <row r="112" spans="1:18" x14ac:dyDescent="0.25">
      <c r="A112">
        <v>111</v>
      </c>
      <c r="B112" s="2">
        <v>45762</v>
      </c>
      <c r="C112" t="s">
        <v>18</v>
      </c>
      <c r="D112" t="s">
        <v>34</v>
      </c>
      <c r="E112" t="s">
        <v>35</v>
      </c>
      <c r="F112" t="s">
        <v>21</v>
      </c>
      <c r="G112" t="s">
        <v>52</v>
      </c>
      <c r="H112" t="s">
        <v>53</v>
      </c>
      <c r="I112" t="s">
        <v>54</v>
      </c>
      <c r="J112">
        <v>1</v>
      </c>
      <c r="K112" s="3">
        <v>115000</v>
      </c>
      <c r="L112" s="3">
        <v>68000</v>
      </c>
      <c r="M112" s="3">
        <v>115000</v>
      </c>
      <c r="N112" s="3">
        <v>68000</v>
      </c>
      <c r="O112" s="3">
        <v>47000</v>
      </c>
      <c r="P112" s="4">
        <v>0.40869565217391313</v>
      </c>
      <c r="Q112" t="s">
        <v>39</v>
      </c>
      <c r="R112" t="s">
        <v>26</v>
      </c>
    </row>
    <row r="113" spans="1:18" x14ac:dyDescent="0.25">
      <c r="A113">
        <v>112</v>
      </c>
      <c r="B113" s="2">
        <v>45726</v>
      </c>
      <c r="C113" t="s">
        <v>18</v>
      </c>
      <c r="D113" t="s">
        <v>62</v>
      </c>
      <c r="E113" t="s">
        <v>20</v>
      </c>
      <c r="F113" t="s">
        <v>21</v>
      </c>
      <c r="G113" t="s">
        <v>46</v>
      </c>
      <c r="H113" t="s">
        <v>47</v>
      </c>
      <c r="I113" t="s">
        <v>48</v>
      </c>
      <c r="J113">
        <v>3</v>
      </c>
      <c r="K113" s="3">
        <v>28000</v>
      </c>
      <c r="L113" s="3">
        <v>11000</v>
      </c>
      <c r="M113" s="3">
        <v>84000</v>
      </c>
      <c r="N113" s="3">
        <v>33000</v>
      </c>
      <c r="O113" s="3">
        <v>51000</v>
      </c>
      <c r="P113" s="4">
        <v>0.6071428571428571</v>
      </c>
      <c r="Q113" t="s">
        <v>39</v>
      </c>
      <c r="R113" t="s">
        <v>26</v>
      </c>
    </row>
    <row r="114" spans="1:18" x14ac:dyDescent="0.25">
      <c r="A114">
        <v>113</v>
      </c>
      <c r="B114" s="2">
        <v>45334</v>
      </c>
      <c r="C114" t="s">
        <v>18</v>
      </c>
      <c r="D114" t="s">
        <v>42</v>
      </c>
      <c r="E114" t="s">
        <v>29</v>
      </c>
      <c r="F114" t="s">
        <v>21</v>
      </c>
      <c r="G114" t="s">
        <v>43</v>
      </c>
      <c r="H114" t="s">
        <v>37</v>
      </c>
      <c r="I114" t="s">
        <v>44</v>
      </c>
      <c r="J114">
        <v>2</v>
      </c>
      <c r="K114" s="3">
        <v>780000</v>
      </c>
      <c r="L114" s="3">
        <v>590000</v>
      </c>
      <c r="M114" s="3">
        <v>1560000</v>
      </c>
      <c r="N114" s="3">
        <v>1180000</v>
      </c>
      <c r="O114" s="3">
        <v>380000</v>
      </c>
      <c r="P114" s="4">
        <v>0.24358974358974361</v>
      </c>
      <c r="Q114" t="s">
        <v>39</v>
      </c>
      <c r="R114" t="s">
        <v>26</v>
      </c>
    </row>
    <row r="115" spans="1:18" x14ac:dyDescent="0.25">
      <c r="A115">
        <v>114</v>
      </c>
      <c r="B115" s="2">
        <v>45820</v>
      </c>
      <c r="C115" t="s">
        <v>27</v>
      </c>
      <c r="D115" t="s">
        <v>62</v>
      </c>
      <c r="E115" t="s">
        <v>20</v>
      </c>
      <c r="F115" t="s">
        <v>21</v>
      </c>
      <c r="G115" t="s">
        <v>36</v>
      </c>
      <c r="H115" t="s">
        <v>37</v>
      </c>
      <c r="I115" t="s">
        <v>38</v>
      </c>
      <c r="J115">
        <v>2</v>
      </c>
      <c r="K115" s="3">
        <v>28000</v>
      </c>
      <c r="L115" s="3">
        <v>11000</v>
      </c>
      <c r="M115" s="3">
        <v>56000</v>
      </c>
      <c r="N115" s="3">
        <v>22000</v>
      </c>
      <c r="O115" s="3">
        <v>34000</v>
      </c>
      <c r="P115" s="4">
        <v>0.6071428571428571</v>
      </c>
      <c r="Q115" t="s">
        <v>33</v>
      </c>
      <c r="R115" t="s">
        <v>26</v>
      </c>
    </row>
    <row r="116" spans="1:18" x14ac:dyDescent="0.25">
      <c r="A116">
        <v>115</v>
      </c>
      <c r="B116" s="2">
        <v>45894</v>
      </c>
      <c r="C116" t="s">
        <v>27</v>
      </c>
      <c r="D116" t="s">
        <v>28</v>
      </c>
      <c r="E116" t="s">
        <v>29</v>
      </c>
      <c r="F116" t="s">
        <v>45</v>
      </c>
      <c r="G116" t="s">
        <v>36</v>
      </c>
      <c r="H116" t="s">
        <v>37</v>
      </c>
      <c r="I116" t="s">
        <v>38</v>
      </c>
      <c r="J116">
        <v>1</v>
      </c>
      <c r="K116" s="3">
        <v>220000</v>
      </c>
      <c r="L116" s="3">
        <v>145000</v>
      </c>
      <c r="M116" s="3">
        <v>220000</v>
      </c>
      <c r="N116" s="3">
        <v>145000</v>
      </c>
      <c r="O116" s="3">
        <v>75000</v>
      </c>
      <c r="P116" s="4">
        <v>0.34090909090909088</v>
      </c>
      <c r="Q116" t="s">
        <v>33</v>
      </c>
      <c r="R116" t="s">
        <v>26</v>
      </c>
    </row>
    <row r="117" spans="1:18" x14ac:dyDescent="0.25">
      <c r="A117">
        <v>116</v>
      </c>
      <c r="B117" s="2">
        <v>45653</v>
      </c>
      <c r="C117" t="s">
        <v>18</v>
      </c>
      <c r="D117" t="s">
        <v>49</v>
      </c>
      <c r="E117" t="s">
        <v>20</v>
      </c>
      <c r="F117" t="s">
        <v>45</v>
      </c>
      <c r="G117" t="s">
        <v>59</v>
      </c>
      <c r="H117" t="s">
        <v>31</v>
      </c>
      <c r="I117" t="s">
        <v>60</v>
      </c>
      <c r="J117">
        <v>2</v>
      </c>
      <c r="K117" s="3">
        <v>45000</v>
      </c>
      <c r="L117" s="3">
        <v>21000</v>
      </c>
      <c r="M117" s="3">
        <v>90000</v>
      </c>
      <c r="N117" s="3">
        <v>42000</v>
      </c>
      <c r="O117" s="3">
        <v>48000</v>
      </c>
      <c r="P117" s="4">
        <v>0.53333333333333333</v>
      </c>
      <c r="Q117" t="s">
        <v>41</v>
      </c>
      <c r="R117" t="s">
        <v>26</v>
      </c>
    </row>
    <row r="118" spans="1:18" x14ac:dyDescent="0.25">
      <c r="A118">
        <v>117</v>
      </c>
      <c r="B118" s="2">
        <v>45741</v>
      </c>
      <c r="C118" t="s">
        <v>27</v>
      </c>
      <c r="D118" t="s">
        <v>61</v>
      </c>
      <c r="E118" t="s">
        <v>29</v>
      </c>
      <c r="F118" t="s">
        <v>21</v>
      </c>
      <c r="G118" t="s">
        <v>43</v>
      </c>
      <c r="H118" t="s">
        <v>37</v>
      </c>
      <c r="I118" t="s">
        <v>44</v>
      </c>
      <c r="J118">
        <v>1</v>
      </c>
      <c r="K118" s="3">
        <v>390000</v>
      </c>
      <c r="L118" s="3">
        <v>270000</v>
      </c>
      <c r="M118" s="3">
        <v>390000</v>
      </c>
      <c r="N118" s="3">
        <v>270000</v>
      </c>
      <c r="O118" s="3">
        <v>120000</v>
      </c>
      <c r="P118" s="4">
        <v>0.30769230769230771</v>
      </c>
      <c r="Q118" t="s">
        <v>33</v>
      </c>
      <c r="R118" t="s">
        <v>26</v>
      </c>
    </row>
    <row r="119" spans="1:18" x14ac:dyDescent="0.25">
      <c r="A119">
        <v>118</v>
      </c>
      <c r="B119" s="2">
        <v>45410</v>
      </c>
      <c r="C119" t="s">
        <v>27</v>
      </c>
      <c r="D119" t="s">
        <v>62</v>
      </c>
      <c r="E119" t="s">
        <v>20</v>
      </c>
      <c r="F119" t="s">
        <v>45</v>
      </c>
      <c r="G119" t="s">
        <v>46</v>
      </c>
      <c r="H119" t="s">
        <v>47</v>
      </c>
      <c r="I119" t="s">
        <v>48</v>
      </c>
      <c r="J119">
        <v>4</v>
      </c>
      <c r="K119" s="3">
        <v>28000</v>
      </c>
      <c r="L119" s="3">
        <v>11000</v>
      </c>
      <c r="M119" s="3">
        <v>112000</v>
      </c>
      <c r="N119" s="3">
        <v>44000</v>
      </c>
      <c r="O119" s="3">
        <v>68000</v>
      </c>
      <c r="P119" s="4">
        <v>0.6071428571428571</v>
      </c>
      <c r="Q119" t="s">
        <v>39</v>
      </c>
      <c r="R119" t="s">
        <v>26</v>
      </c>
    </row>
    <row r="120" spans="1:18" x14ac:dyDescent="0.25">
      <c r="A120">
        <v>119</v>
      </c>
      <c r="B120" s="2">
        <v>45488</v>
      </c>
      <c r="C120" t="s">
        <v>18</v>
      </c>
      <c r="D120" t="s">
        <v>40</v>
      </c>
      <c r="E120" t="s">
        <v>35</v>
      </c>
      <c r="F120" t="s">
        <v>21</v>
      </c>
      <c r="G120" t="s">
        <v>56</v>
      </c>
      <c r="H120" t="s">
        <v>57</v>
      </c>
      <c r="I120" t="s">
        <v>58</v>
      </c>
      <c r="J120">
        <v>1</v>
      </c>
      <c r="K120" s="3">
        <v>185000</v>
      </c>
      <c r="L120" s="3">
        <v>108000</v>
      </c>
      <c r="M120" s="3">
        <v>185000</v>
      </c>
      <c r="N120" s="3">
        <v>108000</v>
      </c>
      <c r="O120" s="3">
        <v>77000</v>
      </c>
      <c r="P120" s="4">
        <v>0.41621621621621618</v>
      </c>
      <c r="Q120" t="s">
        <v>39</v>
      </c>
      <c r="R120" t="s">
        <v>26</v>
      </c>
    </row>
    <row r="121" spans="1:18" x14ac:dyDescent="0.25">
      <c r="A121">
        <v>120</v>
      </c>
      <c r="B121" s="2">
        <v>45792</v>
      </c>
      <c r="C121" t="s">
        <v>18</v>
      </c>
      <c r="D121" t="s">
        <v>34</v>
      </c>
      <c r="E121" t="s">
        <v>35</v>
      </c>
      <c r="F121" t="s">
        <v>45</v>
      </c>
      <c r="G121" t="s">
        <v>59</v>
      </c>
      <c r="H121" t="s">
        <v>31</v>
      </c>
      <c r="I121" t="s">
        <v>60</v>
      </c>
      <c r="J121">
        <v>3</v>
      </c>
      <c r="K121" s="3">
        <v>115000</v>
      </c>
      <c r="L121" s="3">
        <v>68000</v>
      </c>
      <c r="M121" s="3">
        <v>345000</v>
      </c>
      <c r="N121" s="3">
        <v>204000</v>
      </c>
      <c r="O121" s="3">
        <v>141000</v>
      </c>
      <c r="P121" s="4">
        <v>0.40869565217391313</v>
      </c>
      <c r="Q121" t="s">
        <v>25</v>
      </c>
      <c r="R121" t="s">
        <v>26</v>
      </c>
    </row>
    <row r="122" spans="1:18" x14ac:dyDescent="0.25">
      <c r="A122">
        <v>121</v>
      </c>
      <c r="B122" s="2">
        <v>45958</v>
      </c>
      <c r="C122" t="s">
        <v>18</v>
      </c>
      <c r="D122" t="s">
        <v>55</v>
      </c>
      <c r="E122" t="s">
        <v>51</v>
      </c>
      <c r="F122" t="s">
        <v>21</v>
      </c>
      <c r="G122" t="s">
        <v>46</v>
      </c>
      <c r="H122" t="s">
        <v>47</v>
      </c>
      <c r="I122" t="s">
        <v>48</v>
      </c>
      <c r="J122">
        <v>1</v>
      </c>
      <c r="K122" s="3">
        <v>520000</v>
      </c>
      <c r="L122" s="3">
        <v>365000</v>
      </c>
      <c r="M122" s="3">
        <v>520000</v>
      </c>
      <c r="N122" s="3">
        <v>365000</v>
      </c>
      <c r="O122" s="3">
        <v>155000</v>
      </c>
      <c r="P122" s="4">
        <v>0.29807692307692307</v>
      </c>
      <c r="Q122" t="s">
        <v>41</v>
      </c>
      <c r="R122" t="s">
        <v>26</v>
      </c>
    </row>
    <row r="123" spans="1:18" x14ac:dyDescent="0.25">
      <c r="A123">
        <v>122</v>
      </c>
      <c r="B123" s="2">
        <v>45457</v>
      </c>
      <c r="C123" t="s">
        <v>18</v>
      </c>
      <c r="D123" t="s">
        <v>49</v>
      </c>
      <c r="E123" t="s">
        <v>20</v>
      </c>
      <c r="F123" t="s">
        <v>45</v>
      </c>
      <c r="G123" t="s">
        <v>43</v>
      </c>
      <c r="H123" t="s">
        <v>37</v>
      </c>
      <c r="I123" t="s">
        <v>44</v>
      </c>
      <c r="J123">
        <v>3</v>
      </c>
      <c r="K123" s="3">
        <v>45000</v>
      </c>
      <c r="L123" s="3">
        <v>21000</v>
      </c>
      <c r="M123" s="3">
        <v>135000</v>
      </c>
      <c r="N123" s="3">
        <v>63000</v>
      </c>
      <c r="O123" s="3">
        <v>72000</v>
      </c>
      <c r="P123" s="4">
        <v>0.53333333333333333</v>
      </c>
      <c r="Q123" t="s">
        <v>33</v>
      </c>
      <c r="R123" t="s">
        <v>26</v>
      </c>
    </row>
    <row r="124" spans="1:18" x14ac:dyDescent="0.25">
      <c r="A124">
        <v>123</v>
      </c>
      <c r="B124" s="2">
        <v>45929</v>
      </c>
      <c r="C124" t="s">
        <v>27</v>
      </c>
      <c r="D124" t="s">
        <v>28</v>
      </c>
      <c r="E124" t="s">
        <v>29</v>
      </c>
      <c r="F124" t="s">
        <v>45</v>
      </c>
      <c r="G124" t="s">
        <v>30</v>
      </c>
      <c r="H124" t="s">
        <v>31</v>
      </c>
      <c r="I124" t="s">
        <v>32</v>
      </c>
      <c r="J124">
        <v>2</v>
      </c>
      <c r="K124" s="3">
        <v>220000</v>
      </c>
      <c r="L124" s="3">
        <v>145000</v>
      </c>
      <c r="M124" s="3">
        <v>440000</v>
      </c>
      <c r="N124" s="3">
        <v>290000</v>
      </c>
      <c r="O124" s="3">
        <v>150000</v>
      </c>
      <c r="P124" s="4">
        <v>0.34090909090909088</v>
      </c>
      <c r="Q124" t="s">
        <v>41</v>
      </c>
      <c r="R124" t="s">
        <v>26</v>
      </c>
    </row>
    <row r="125" spans="1:18" x14ac:dyDescent="0.25">
      <c r="A125">
        <v>124</v>
      </c>
      <c r="B125" s="2">
        <v>45446</v>
      </c>
      <c r="C125" t="s">
        <v>18</v>
      </c>
      <c r="D125" t="s">
        <v>34</v>
      </c>
      <c r="E125" t="s">
        <v>35</v>
      </c>
      <c r="F125" t="s">
        <v>45</v>
      </c>
      <c r="G125" t="s">
        <v>52</v>
      </c>
      <c r="H125" t="s">
        <v>53</v>
      </c>
      <c r="I125" t="s">
        <v>54</v>
      </c>
      <c r="J125">
        <v>1</v>
      </c>
      <c r="K125" s="3">
        <v>115000</v>
      </c>
      <c r="L125" s="3">
        <v>68000</v>
      </c>
      <c r="M125" s="3">
        <v>115000</v>
      </c>
      <c r="N125" s="3">
        <v>68000</v>
      </c>
      <c r="O125" s="3">
        <v>47000</v>
      </c>
      <c r="P125" s="4">
        <v>0.40869565217391313</v>
      </c>
      <c r="Q125" t="s">
        <v>41</v>
      </c>
      <c r="R125" t="s">
        <v>26</v>
      </c>
    </row>
    <row r="126" spans="1:18" x14ac:dyDescent="0.25">
      <c r="A126">
        <v>125</v>
      </c>
      <c r="B126" s="2">
        <v>45727</v>
      </c>
      <c r="C126" t="s">
        <v>18</v>
      </c>
      <c r="D126" t="s">
        <v>34</v>
      </c>
      <c r="E126" t="s">
        <v>35</v>
      </c>
      <c r="F126" t="s">
        <v>45</v>
      </c>
      <c r="G126" t="s">
        <v>56</v>
      </c>
      <c r="H126" t="s">
        <v>57</v>
      </c>
      <c r="I126" t="s">
        <v>58</v>
      </c>
      <c r="J126">
        <v>2</v>
      </c>
      <c r="K126" s="3">
        <v>115000</v>
      </c>
      <c r="L126" s="3">
        <v>68000</v>
      </c>
      <c r="M126" s="3">
        <v>230000</v>
      </c>
      <c r="N126" s="3">
        <v>136000</v>
      </c>
      <c r="O126" s="3">
        <v>94000</v>
      </c>
      <c r="P126" s="4">
        <v>0.40869565217391313</v>
      </c>
      <c r="Q126" t="s">
        <v>25</v>
      </c>
      <c r="R126" t="s">
        <v>26</v>
      </c>
    </row>
    <row r="127" spans="1:18" x14ac:dyDescent="0.25">
      <c r="A127">
        <v>126</v>
      </c>
      <c r="B127" s="2">
        <v>45903</v>
      </c>
      <c r="C127" t="s">
        <v>27</v>
      </c>
      <c r="D127" t="s">
        <v>61</v>
      </c>
      <c r="E127" t="s">
        <v>29</v>
      </c>
      <c r="F127" t="s">
        <v>21</v>
      </c>
      <c r="G127" t="s">
        <v>59</v>
      </c>
      <c r="H127" t="s">
        <v>31</v>
      </c>
      <c r="I127" t="s">
        <v>60</v>
      </c>
      <c r="J127">
        <v>3</v>
      </c>
      <c r="K127" s="3">
        <v>390000</v>
      </c>
      <c r="L127" s="3">
        <v>270000</v>
      </c>
      <c r="M127" s="3">
        <v>1170000</v>
      </c>
      <c r="N127" s="3">
        <v>810000</v>
      </c>
      <c r="O127" s="3">
        <v>360000</v>
      </c>
      <c r="P127" s="4">
        <v>0.30769230769230771</v>
      </c>
      <c r="Q127" t="s">
        <v>33</v>
      </c>
      <c r="R127" t="s">
        <v>26</v>
      </c>
    </row>
    <row r="128" spans="1:18" x14ac:dyDescent="0.25">
      <c r="A128">
        <v>127</v>
      </c>
      <c r="B128" s="2">
        <v>45388</v>
      </c>
      <c r="C128" t="s">
        <v>27</v>
      </c>
      <c r="D128" t="s">
        <v>28</v>
      </c>
      <c r="E128" t="s">
        <v>29</v>
      </c>
      <c r="F128" t="s">
        <v>21</v>
      </c>
      <c r="G128" t="s">
        <v>36</v>
      </c>
      <c r="H128" t="s">
        <v>37</v>
      </c>
      <c r="I128" t="s">
        <v>38</v>
      </c>
      <c r="J128">
        <v>2</v>
      </c>
      <c r="K128" s="3">
        <v>220000</v>
      </c>
      <c r="L128" s="3">
        <v>145000</v>
      </c>
      <c r="M128" s="3">
        <v>440000</v>
      </c>
      <c r="N128" s="3">
        <v>290000</v>
      </c>
      <c r="O128" s="3">
        <v>150000</v>
      </c>
      <c r="P128" s="4">
        <v>0.34090909090909088</v>
      </c>
      <c r="Q128" t="s">
        <v>33</v>
      </c>
      <c r="R128" t="s">
        <v>26</v>
      </c>
    </row>
    <row r="129" spans="1:18" x14ac:dyDescent="0.25">
      <c r="A129">
        <v>128</v>
      </c>
      <c r="B129" s="2">
        <v>45697</v>
      </c>
      <c r="C129" t="s">
        <v>18</v>
      </c>
      <c r="D129" t="s">
        <v>49</v>
      </c>
      <c r="E129" t="s">
        <v>20</v>
      </c>
      <c r="F129" t="s">
        <v>21</v>
      </c>
      <c r="G129" t="s">
        <v>46</v>
      </c>
      <c r="H129" t="s">
        <v>47</v>
      </c>
      <c r="I129" t="s">
        <v>48</v>
      </c>
      <c r="J129">
        <v>2</v>
      </c>
      <c r="K129" s="3">
        <v>45000</v>
      </c>
      <c r="L129" s="3">
        <v>21000</v>
      </c>
      <c r="M129" s="3">
        <v>90000</v>
      </c>
      <c r="N129" s="3">
        <v>42000</v>
      </c>
      <c r="O129" s="3">
        <v>48000</v>
      </c>
      <c r="P129" s="4">
        <v>0.53333333333333333</v>
      </c>
      <c r="Q129" t="s">
        <v>41</v>
      </c>
      <c r="R129" t="s">
        <v>26</v>
      </c>
    </row>
    <row r="130" spans="1:18" x14ac:dyDescent="0.25">
      <c r="A130">
        <v>129</v>
      </c>
      <c r="B130" s="2">
        <v>45718</v>
      </c>
      <c r="C130" t="s">
        <v>27</v>
      </c>
      <c r="D130" t="s">
        <v>19</v>
      </c>
      <c r="E130" t="s">
        <v>20</v>
      </c>
      <c r="F130" t="s">
        <v>45</v>
      </c>
      <c r="G130" t="s">
        <v>43</v>
      </c>
      <c r="H130" t="s">
        <v>37</v>
      </c>
      <c r="I130" t="s">
        <v>44</v>
      </c>
      <c r="J130">
        <v>2</v>
      </c>
      <c r="K130" s="3">
        <v>24000</v>
      </c>
      <c r="L130" s="3">
        <v>9500</v>
      </c>
      <c r="M130" s="3">
        <v>48000</v>
      </c>
      <c r="N130" s="3">
        <v>19000</v>
      </c>
      <c r="O130" s="3">
        <v>29000</v>
      </c>
      <c r="P130" s="4">
        <v>0.60416666666666663</v>
      </c>
      <c r="Q130" t="s">
        <v>25</v>
      </c>
      <c r="R130" t="s">
        <v>26</v>
      </c>
    </row>
    <row r="131" spans="1:18" x14ac:dyDescent="0.25">
      <c r="A131">
        <v>130</v>
      </c>
      <c r="B131" s="2">
        <v>45487</v>
      </c>
      <c r="C131" t="s">
        <v>18</v>
      </c>
      <c r="D131" t="s">
        <v>40</v>
      </c>
      <c r="E131" t="s">
        <v>35</v>
      </c>
      <c r="F131" t="s">
        <v>45</v>
      </c>
      <c r="G131" t="s">
        <v>30</v>
      </c>
      <c r="H131" t="s">
        <v>31</v>
      </c>
      <c r="I131" t="s">
        <v>32</v>
      </c>
      <c r="J131">
        <v>1</v>
      </c>
      <c r="K131" s="3">
        <v>185000</v>
      </c>
      <c r="L131" s="3">
        <v>108000</v>
      </c>
      <c r="M131" s="3">
        <v>185000</v>
      </c>
      <c r="N131" s="3">
        <v>108000</v>
      </c>
      <c r="O131" s="3">
        <v>77000</v>
      </c>
      <c r="P131" s="4">
        <v>0.41621621621621618</v>
      </c>
      <c r="Q131" t="s">
        <v>25</v>
      </c>
      <c r="R131" t="s">
        <v>26</v>
      </c>
    </row>
    <row r="132" spans="1:18" x14ac:dyDescent="0.25">
      <c r="A132">
        <v>131</v>
      </c>
      <c r="B132" s="2">
        <v>45501</v>
      </c>
      <c r="C132" t="s">
        <v>18</v>
      </c>
      <c r="D132" t="s">
        <v>61</v>
      </c>
      <c r="E132" t="s">
        <v>29</v>
      </c>
      <c r="F132" t="s">
        <v>21</v>
      </c>
      <c r="G132" t="s">
        <v>43</v>
      </c>
      <c r="H132" t="s">
        <v>37</v>
      </c>
      <c r="I132" t="s">
        <v>44</v>
      </c>
      <c r="J132">
        <v>2</v>
      </c>
      <c r="K132" s="3">
        <v>390000</v>
      </c>
      <c r="L132" s="3">
        <v>270000</v>
      </c>
      <c r="M132" s="3">
        <v>780000</v>
      </c>
      <c r="N132" s="3">
        <v>540000</v>
      </c>
      <c r="O132" s="3">
        <v>240000</v>
      </c>
      <c r="P132" s="4">
        <v>0.30769230769230771</v>
      </c>
      <c r="Q132" t="s">
        <v>41</v>
      </c>
      <c r="R132" t="s">
        <v>26</v>
      </c>
    </row>
    <row r="133" spans="1:18" x14ac:dyDescent="0.25">
      <c r="A133">
        <v>132</v>
      </c>
      <c r="B133" s="2">
        <v>45614</v>
      </c>
      <c r="C133" t="s">
        <v>27</v>
      </c>
      <c r="D133" t="s">
        <v>61</v>
      </c>
      <c r="E133" t="s">
        <v>29</v>
      </c>
      <c r="F133" t="s">
        <v>21</v>
      </c>
      <c r="G133" t="s">
        <v>59</v>
      </c>
      <c r="H133" t="s">
        <v>31</v>
      </c>
      <c r="I133" t="s">
        <v>60</v>
      </c>
      <c r="J133">
        <v>2</v>
      </c>
      <c r="K133" s="3">
        <v>390000</v>
      </c>
      <c r="L133" s="3">
        <v>270000</v>
      </c>
      <c r="M133" s="3">
        <v>780000</v>
      </c>
      <c r="N133" s="3">
        <v>540000</v>
      </c>
      <c r="O133" s="3">
        <v>240000</v>
      </c>
      <c r="P133" s="4">
        <v>0.30769230769230771</v>
      </c>
      <c r="Q133" t="s">
        <v>33</v>
      </c>
      <c r="R133" t="s">
        <v>26</v>
      </c>
    </row>
    <row r="134" spans="1:18" x14ac:dyDescent="0.25">
      <c r="A134">
        <v>133</v>
      </c>
      <c r="B134" s="2">
        <v>45594</v>
      </c>
      <c r="C134" t="s">
        <v>18</v>
      </c>
      <c r="D134" t="s">
        <v>28</v>
      </c>
      <c r="E134" t="s">
        <v>29</v>
      </c>
      <c r="F134" t="s">
        <v>21</v>
      </c>
      <c r="G134" t="s">
        <v>46</v>
      </c>
      <c r="H134" t="s">
        <v>47</v>
      </c>
      <c r="I134" t="s">
        <v>48</v>
      </c>
      <c r="J134">
        <v>1</v>
      </c>
      <c r="K134" s="3">
        <v>220000</v>
      </c>
      <c r="L134" s="3">
        <v>145000</v>
      </c>
      <c r="M134" s="3">
        <v>220000</v>
      </c>
      <c r="N134" s="3">
        <v>145000</v>
      </c>
      <c r="O134" s="3">
        <v>75000</v>
      </c>
      <c r="P134" s="4">
        <v>0.34090909090909088</v>
      </c>
      <c r="Q134" t="s">
        <v>39</v>
      </c>
      <c r="R134" t="s">
        <v>26</v>
      </c>
    </row>
    <row r="135" spans="1:18" x14ac:dyDescent="0.25">
      <c r="A135">
        <v>134</v>
      </c>
      <c r="B135" s="2">
        <v>45965</v>
      </c>
      <c r="C135" t="s">
        <v>18</v>
      </c>
      <c r="D135" t="s">
        <v>61</v>
      </c>
      <c r="E135" t="s">
        <v>29</v>
      </c>
      <c r="F135" t="s">
        <v>21</v>
      </c>
      <c r="G135" t="s">
        <v>59</v>
      </c>
      <c r="H135" t="s">
        <v>31</v>
      </c>
      <c r="I135" t="s">
        <v>60</v>
      </c>
      <c r="J135">
        <v>3</v>
      </c>
      <c r="K135" s="3">
        <v>390000</v>
      </c>
      <c r="L135" s="3">
        <v>270000</v>
      </c>
      <c r="M135" s="3">
        <v>1170000</v>
      </c>
      <c r="N135" s="3">
        <v>810000</v>
      </c>
      <c r="O135" s="3">
        <v>360000</v>
      </c>
      <c r="P135" s="4">
        <v>0.30769230769230771</v>
      </c>
      <c r="Q135" t="s">
        <v>41</v>
      </c>
      <c r="R135" t="s">
        <v>26</v>
      </c>
    </row>
    <row r="136" spans="1:18" x14ac:dyDescent="0.25">
      <c r="A136">
        <v>135</v>
      </c>
      <c r="B136" s="2">
        <v>45974</v>
      </c>
      <c r="C136" t="s">
        <v>18</v>
      </c>
      <c r="D136" t="s">
        <v>19</v>
      </c>
      <c r="E136" t="s">
        <v>20</v>
      </c>
      <c r="F136" t="s">
        <v>21</v>
      </c>
      <c r="G136" t="s">
        <v>36</v>
      </c>
      <c r="H136" t="s">
        <v>37</v>
      </c>
      <c r="I136" t="s">
        <v>38</v>
      </c>
      <c r="J136">
        <v>4</v>
      </c>
      <c r="K136" s="3">
        <v>24000</v>
      </c>
      <c r="L136" s="3">
        <v>9500</v>
      </c>
      <c r="M136" s="3">
        <v>96000</v>
      </c>
      <c r="N136" s="3">
        <v>38000</v>
      </c>
      <c r="O136" s="3">
        <v>58000</v>
      </c>
      <c r="P136" s="4">
        <v>0.60416666666666663</v>
      </c>
      <c r="Q136" t="s">
        <v>39</v>
      </c>
      <c r="R136" t="s">
        <v>26</v>
      </c>
    </row>
    <row r="137" spans="1:18" x14ac:dyDescent="0.25">
      <c r="A137">
        <v>136</v>
      </c>
      <c r="B137" s="2">
        <v>45963</v>
      </c>
      <c r="C137" t="s">
        <v>18</v>
      </c>
      <c r="D137" t="s">
        <v>34</v>
      </c>
      <c r="E137" t="s">
        <v>35</v>
      </c>
      <c r="F137" t="s">
        <v>45</v>
      </c>
      <c r="G137" t="s">
        <v>59</v>
      </c>
      <c r="H137" t="s">
        <v>31</v>
      </c>
      <c r="I137" t="s">
        <v>60</v>
      </c>
      <c r="J137">
        <v>3</v>
      </c>
      <c r="K137" s="3">
        <v>115000</v>
      </c>
      <c r="L137" s="3">
        <v>68000</v>
      </c>
      <c r="M137" s="3">
        <v>345000</v>
      </c>
      <c r="N137" s="3">
        <v>204000</v>
      </c>
      <c r="O137" s="3">
        <v>141000</v>
      </c>
      <c r="P137" s="4">
        <v>0.40869565217391313</v>
      </c>
      <c r="Q137" t="s">
        <v>39</v>
      </c>
      <c r="R137" t="s">
        <v>26</v>
      </c>
    </row>
    <row r="138" spans="1:18" x14ac:dyDescent="0.25">
      <c r="A138">
        <v>137</v>
      </c>
      <c r="B138" s="2">
        <v>46013</v>
      </c>
      <c r="C138" t="s">
        <v>27</v>
      </c>
      <c r="D138" t="s">
        <v>19</v>
      </c>
      <c r="E138" t="s">
        <v>20</v>
      </c>
      <c r="F138" t="s">
        <v>45</v>
      </c>
      <c r="G138" t="s">
        <v>52</v>
      </c>
      <c r="H138" t="s">
        <v>53</v>
      </c>
      <c r="I138" t="s">
        <v>54</v>
      </c>
      <c r="J138">
        <v>2</v>
      </c>
      <c r="K138" s="3">
        <v>24000</v>
      </c>
      <c r="L138" s="3">
        <v>9500</v>
      </c>
      <c r="M138" s="3">
        <v>48000</v>
      </c>
      <c r="N138" s="3">
        <v>19000</v>
      </c>
      <c r="O138" s="3">
        <v>29000</v>
      </c>
      <c r="P138" s="4">
        <v>0.60416666666666663</v>
      </c>
      <c r="Q138" t="s">
        <v>39</v>
      </c>
      <c r="R138" t="s">
        <v>26</v>
      </c>
    </row>
    <row r="139" spans="1:18" x14ac:dyDescent="0.25">
      <c r="A139">
        <v>138</v>
      </c>
      <c r="B139" s="2">
        <v>45783</v>
      </c>
      <c r="C139" t="s">
        <v>18</v>
      </c>
      <c r="D139" t="s">
        <v>62</v>
      </c>
      <c r="E139" t="s">
        <v>20</v>
      </c>
      <c r="F139" t="s">
        <v>21</v>
      </c>
      <c r="G139" t="s">
        <v>22</v>
      </c>
      <c r="H139" t="s">
        <v>23</v>
      </c>
      <c r="I139" t="s">
        <v>24</v>
      </c>
      <c r="J139">
        <v>1</v>
      </c>
      <c r="K139" s="3">
        <v>28000</v>
      </c>
      <c r="L139" s="3">
        <v>11000</v>
      </c>
      <c r="M139" s="3">
        <v>28000</v>
      </c>
      <c r="N139" s="3">
        <v>11000</v>
      </c>
      <c r="O139" s="3">
        <v>17000</v>
      </c>
      <c r="P139" s="4">
        <v>0.6071428571428571</v>
      </c>
      <c r="Q139" t="s">
        <v>39</v>
      </c>
      <c r="R139" t="s">
        <v>26</v>
      </c>
    </row>
    <row r="140" spans="1:18" x14ac:dyDescent="0.25">
      <c r="A140">
        <v>139</v>
      </c>
      <c r="B140" s="2">
        <v>46013</v>
      </c>
      <c r="C140" t="s">
        <v>27</v>
      </c>
      <c r="D140" t="s">
        <v>42</v>
      </c>
      <c r="E140" t="s">
        <v>29</v>
      </c>
      <c r="F140" t="s">
        <v>45</v>
      </c>
      <c r="G140" t="s">
        <v>52</v>
      </c>
      <c r="H140" t="s">
        <v>53</v>
      </c>
      <c r="I140" t="s">
        <v>54</v>
      </c>
      <c r="J140">
        <v>2</v>
      </c>
      <c r="K140" s="3">
        <v>780000</v>
      </c>
      <c r="L140" s="3">
        <v>590000</v>
      </c>
      <c r="M140" s="3">
        <v>1560000</v>
      </c>
      <c r="N140" s="3">
        <v>1180000</v>
      </c>
      <c r="O140" s="3">
        <v>380000</v>
      </c>
      <c r="P140" s="4">
        <v>0.24358974358974361</v>
      </c>
      <c r="Q140" t="s">
        <v>41</v>
      </c>
      <c r="R140" t="s">
        <v>26</v>
      </c>
    </row>
    <row r="141" spans="1:18" x14ac:dyDescent="0.25">
      <c r="A141">
        <v>140</v>
      </c>
      <c r="B141" s="2">
        <v>45402</v>
      </c>
      <c r="C141" t="s">
        <v>27</v>
      </c>
      <c r="D141" t="s">
        <v>49</v>
      </c>
      <c r="E141" t="s">
        <v>20</v>
      </c>
      <c r="F141" t="s">
        <v>21</v>
      </c>
      <c r="G141" t="s">
        <v>43</v>
      </c>
      <c r="H141" t="s">
        <v>37</v>
      </c>
      <c r="I141" t="s">
        <v>44</v>
      </c>
      <c r="J141">
        <v>4</v>
      </c>
      <c r="K141" s="3">
        <v>45000</v>
      </c>
      <c r="L141" s="3">
        <v>21000</v>
      </c>
      <c r="M141" s="3">
        <v>180000</v>
      </c>
      <c r="N141" s="3">
        <v>84000</v>
      </c>
      <c r="O141" s="3">
        <v>96000</v>
      </c>
      <c r="P141" s="4">
        <v>0.53333333333333333</v>
      </c>
      <c r="Q141" t="s">
        <v>33</v>
      </c>
      <c r="R141" t="s">
        <v>26</v>
      </c>
    </row>
    <row r="142" spans="1:18" x14ac:dyDescent="0.25">
      <c r="A142">
        <v>141</v>
      </c>
      <c r="B142" s="2">
        <v>45783</v>
      </c>
      <c r="C142" t="s">
        <v>27</v>
      </c>
      <c r="D142" t="s">
        <v>19</v>
      </c>
      <c r="E142" t="s">
        <v>20</v>
      </c>
      <c r="F142" t="s">
        <v>45</v>
      </c>
      <c r="G142" t="s">
        <v>30</v>
      </c>
      <c r="H142" t="s">
        <v>31</v>
      </c>
      <c r="I142" t="s">
        <v>32</v>
      </c>
      <c r="J142">
        <v>2</v>
      </c>
      <c r="K142" s="3">
        <v>24000</v>
      </c>
      <c r="L142" s="3">
        <v>9500</v>
      </c>
      <c r="M142" s="3">
        <v>48000</v>
      </c>
      <c r="N142" s="3">
        <v>19000</v>
      </c>
      <c r="O142" s="3">
        <v>29000</v>
      </c>
      <c r="P142" s="4">
        <v>0.60416666666666663</v>
      </c>
      <c r="Q142" t="s">
        <v>33</v>
      </c>
      <c r="R142" t="s">
        <v>26</v>
      </c>
    </row>
    <row r="143" spans="1:18" x14ac:dyDescent="0.25">
      <c r="A143">
        <v>142</v>
      </c>
      <c r="B143" s="2">
        <v>45460</v>
      </c>
      <c r="C143" t="s">
        <v>27</v>
      </c>
      <c r="D143" t="s">
        <v>34</v>
      </c>
      <c r="E143" t="s">
        <v>35</v>
      </c>
      <c r="F143" t="s">
        <v>21</v>
      </c>
      <c r="G143" t="s">
        <v>46</v>
      </c>
      <c r="H143" t="s">
        <v>47</v>
      </c>
      <c r="I143" t="s">
        <v>48</v>
      </c>
      <c r="J143">
        <v>4</v>
      </c>
      <c r="K143" s="3">
        <v>115000</v>
      </c>
      <c r="L143" s="3">
        <v>68000</v>
      </c>
      <c r="M143" s="3">
        <v>460000</v>
      </c>
      <c r="N143" s="3">
        <v>272000</v>
      </c>
      <c r="O143" s="3">
        <v>188000</v>
      </c>
      <c r="P143" s="4">
        <v>0.40869565217391313</v>
      </c>
      <c r="Q143" t="s">
        <v>41</v>
      </c>
      <c r="R143" t="s">
        <v>26</v>
      </c>
    </row>
    <row r="144" spans="1:18" x14ac:dyDescent="0.25">
      <c r="A144">
        <v>143</v>
      </c>
      <c r="B144" s="2">
        <v>45959</v>
      </c>
      <c r="C144" t="s">
        <v>18</v>
      </c>
      <c r="D144" t="s">
        <v>49</v>
      </c>
      <c r="E144" t="s">
        <v>20</v>
      </c>
      <c r="F144" t="s">
        <v>45</v>
      </c>
      <c r="G144" t="s">
        <v>36</v>
      </c>
      <c r="H144" t="s">
        <v>37</v>
      </c>
      <c r="I144" t="s">
        <v>38</v>
      </c>
      <c r="J144">
        <v>1</v>
      </c>
      <c r="K144" s="3">
        <v>45000</v>
      </c>
      <c r="L144" s="3">
        <v>21000</v>
      </c>
      <c r="M144" s="3">
        <v>45000</v>
      </c>
      <c r="N144" s="3">
        <v>21000</v>
      </c>
      <c r="O144" s="3">
        <v>24000</v>
      </c>
      <c r="P144" s="4">
        <v>0.53333333333333333</v>
      </c>
      <c r="Q144" t="s">
        <v>41</v>
      </c>
      <c r="R144" t="s">
        <v>26</v>
      </c>
    </row>
    <row r="145" spans="1:18" x14ac:dyDescent="0.25">
      <c r="A145">
        <v>144</v>
      </c>
      <c r="B145" s="2">
        <v>45719</v>
      </c>
      <c r="C145" t="s">
        <v>27</v>
      </c>
      <c r="D145" t="s">
        <v>34</v>
      </c>
      <c r="E145" t="s">
        <v>35</v>
      </c>
      <c r="F145" t="s">
        <v>21</v>
      </c>
      <c r="G145" t="s">
        <v>56</v>
      </c>
      <c r="H145" t="s">
        <v>57</v>
      </c>
      <c r="I145" t="s">
        <v>58</v>
      </c>
      <c r="J145">
        <v>4</v>
      </c>
      <c r="K145" s="3">
        <v>115000</v>
      </c>
      <c r="L145" s="3">
        <v>68000</v>
      </c>
      <c r="M145" s="3">
        <v>460000</v>
      </c>
      <c r="N145" s="3">
        <v>272000</v>
      </c>
      <c r="O145" s="3">
        <v>188000</v>
      </c>
      <c r="P145" s="4">
        <v>0.40869565217391313</v>
      </c>
      <c r="Q145" t="s">
        <v>39</v>
      </c>
      <c r="R145" t="s">
        <v>26</v>
      </c>
    </row>
    <row r="146" spans="1:18" x14ac:dyDescent="0.25">
      <c r="A146">
        <v>145</v>
      </c>
      <c r="B146" s="2">
        <v>45485</v>
      </c>
      <c r="C146" t="s">
        <v>18</v>
      </c>
      <c r="D146" t="s">
        <v>40</v>
      </c>
      <c r="E146" t="s">
        <v>35</v>
      </c>
      <c r="F146" t="s">
        <v>45</v>
      </c>
      <c r="G146" t="s">
        <v>56</v>
      </c>
      <c r="H146" t="s">
        <v>57</v>
      </c>
      <c r="I146" t="s">
        <v>58</v>
      </c>
      <c r="J146">
        <v>2</v>
      </c>
      <c r="K146" s="3">
        <v>185000</v>
      </c>
      <c r="L146" s="3">
        <v>108000</v>
      </c>
      <c r="M146" s="3">
        <v>370000</v>
      </c>
      <c r="N146" s="3">
        <v>216000</v>
      </c>
      <c r="O146" s="3">
        <v>154000</v>
      </c>
      <c r="P146" s="4">
        <v>0.41621621621621618</v>
      </c>
      <c r="Q146" t="s">
        <v>25</v>
      </c>
      <c r="R146" t="s">
        <v>26</v>
      </c>
    </row>
    <row r="147" spans="1:18" x14ac:dyDescent="0.25">
      <c r="A147">
        <v>146</v>
      </c>
      <c r="B147" s="2">
        <v>45493</v>
      </c>
      <c r="C147" t="s">
        <v>18</v>
      </c>
      <c r="D147" t="s">
        <v>28</v>
      </c>
      <c r="E147" t="s">
        <v>29</v>
      </c>
      <c r="F147" t="s">
        <v>45</v>
      </c>
      <c r="G147" t="s">
        <v>22</v>
      </c>
      <c r="H147" t="s">
        <v>23</v>
      </c>
      <c r="I147" t="s">
        <v>24</v>
      </c>
      <c r="J147">
        <v>3</v>
      </c>
      <c r="K147" s="3">
        <v>220000</v>
      </c>
      <c r="L147" s="3">
        <v>145000</v>
      </c>
      <c r="M147" s="3">
        <v>660000</v>
      </c>
      <c r="N147" s="3">
        <v>435000</v>
      </c>
      <c r="O147" s="3">
        <v>225000</v>
      </c>
      <c r="P147" s="4">
        <v>0.34090909090909088</v>
      </c>
      <c r="Q147" t="s">
        <v>41</v>
      </c>
      <c r="R147" t="s">
        <v>26</v>
      </c>
    </row>
    <row r="148" spans="1:18" x14ac:dyDescent="0.25">
      <c r="A148">
        <v>147</v>
      </c>
      <c r="B148" s="2">
        <v>45900</v>
      </c>
      <c r="C148" t="s">
        <v>27</v>
      </c>
      <c r="D148" t="s">
        <v>34</v>
      </c>
      <c r="E148" t="s">
        <v>35</v>
      </c>
      <c r="F148" t="s">
        <v>45</v>
      </c>
      <c r="G148" t="s">
        <v>43</v>
      </c>
      <c r="H148" t="s">
        <v>37</v>
      </c>
      <c r="I148" t="s">
        <v>44</v>
      </c>
      <c r="J148">
        <v>2</v>
      </c>
      <c r="K148" s="3">
        <v>115000</v>
      </c>
      <c r="L148" s="3">
        <v>68000</v>
      </c>
      <c r="M148" s="3">
        <v>230000</v>
      </c>
      <c r="N148" s="3">
        <v>136000</v>
      </c>
      <c r="O148" s="3">
        <v>94000</v>
      </c>
      <c r="P148" s="4">
        <v>0.40869565217391313</v>
      </c>
      <c r="Q148" t="s">
        <v>39</v>
      </c>
      <c r="R148" t="s">
        <v>26</v>
      </c>
    </row>
    <row r="149" spans="1:18" x14ac:dyDescent="0.25">
      <c r="A149">
        <v>148</v>
      </c>
      <c r="B149" s="2">
        <v>45434</v>
      </c>
      <c r="C149" t="s">
        <v>27</v>
      </c>
      <c r="D149" t="s">
        <v>19</v>
      </c>
      <c r="E149" t="s">
        <v>20</v>
      </c>
      <c r="F149" t="s">
        <v>21</v>
      </c>
      <c r="G149" t="s">
        <v>46</v>
      </c>
      <c r="H149" t="s">
        <v>47</v>
      </c>
      <c r="I149" t="s">
        <v>48</v>
      </c>
      <c r="J149">
        <v>1</v>
      </c>
      <c r="K149" s="3">
        <v>24000</v>
      </c>
      <c r="L149" s="3">
        <v>9500</v>
      </c>
      <c r="M149" s="3">
        <v>24000</v>
      </c>
      <c r="N149" s="3">
        <v>9500</v>
      </c>
      <c r="O149" s="3">
        <v>14500</v>
      </c>
      <c r="P149" s="4">
        <v>0.60416666666666663</v>
      </c>
      <c r="Q149" t="s">
        <v>39</v>
      </c>
      <c r="R149" t="s">
        <v>26</v>
      </c>
    </row>
    <row r="150" spans="1:18" x14ac:dyDescent="0.25">
      <c r="A150">
        <v>149</v>
      </c>
      <c r="B150" s="2">
        <v>45403</v>
      </c>
      <c r="C150" t="s">
        <v>27</v>
      </c>
      <c r="D150" t="s">
        <v>34</v>
      </c>
      <c r="E150" t="s">
        <v>35</v>
      </c>
      <c r="F150" t="s">
        <v>21</v>
      </c>
      <c r="G150" t="s">
        <v>22</v>
      </c>
      <c r="H150" t="s">
        <v>23</v>
      </c>
      <c r="I150" t="s">
        <v>24</v>
      </c>
      <c r="J150">
        <v>4</v>
      </c>
      <c r="K150" s="3">
        <v>115000</v>
      </c>
      <c r="L150" s="3">
        <v>68000</v>
      </c>
      <c r="M150" s="3">
        <v>460000</v>
      </c>
      <c r="N150" s="3">
        <v>272000</v>
      </c>
      <c r="O150" s="3">
        <v>188000</v>
      </c>
      <c r="P150" s="4">
        <v>0.40869565217391313</v>
      </c>
      <c r="Q150" t="s">
        <v>41</v>
      </c>
      <c r="R150" t="s">
        <v>26</v>
      </c>
    </row>
    <row r="151" spans="1:18" x14ac:dyDescent="0.25">
      <c r="A151">
        <v>150</v>
      </c>
      <c r="B151" s="2">
        <v>45342</v>
      </c>
      <c r="C151" t="s">
        <v>27</v>
      </c>
      <c r="D151" t="s">
        <v>62</v>
      </c>
      <c r="E151" t="s">
        <v>20</v>
      </c>
      <c r="F151" t="s">
        <v>21</v>
      </c>
      <c r="G151" t="s">
        <v>46</v>
      </c>
      <c r="H151" t="s">
        <v>47</v>
      </c>
      <c r="I151" t="s">
        <v>48</v>
      </c>
      <c r="J151">
        <v>1</v>
      </c>
      <c r="K151" s="3">
        <v>28000</v>
      </c>
      <c r="L151" s="3">
        <v>11000</v>
      </c>
      <c r="M151" s="3">
        <v>28000</v>
      </c>
      <c r="N151" s="3">
        <v>11000</v>
      </c>
      <c r="O151" s="3">
        <v>17000</v>
      </c>
      <c r="P151" s="4">
        <v>0.6071428571428571</v>
      </c>
      <c r="Q151" t="s">
        <v>41</v>
      </c>
      <c r="R151" t="s">
        <v>26</v>
      </c>
    </row>
    <row r="152" spans="1:18" x14ac:dyDescent="0.25">
      <c r="A152">
        <v>151</v>
      </c>
      <c r="B152" s="2">
        <v>45502</v>
      </c>
      <c r="C152" t="s">
        <v>18</v>
      </c>
      <c r="D152" t="s">
        <v>19</v>
      </c>
      <c r="E152" t="s">
        <v>20</v>
      </c>
      <c r="F152" t="s">
        <v>45</v>
      </c>
      <c r="G152" t="s">
        <v>46</v>
      </c>
      <c r="H152" t="s">
        <v>47</v>
      </c>
      <c r="I152" t="s">
        <v>48</v>
      </c>
      <c r="J152">
        <v>3</v>
      </c>
      <c r="K152" s="3">
        <v>24000</v>
      </c>
      <c r="L152" s="3">
        <v>9500</v>
      </c>
      <c r="M152" s="3">
        <v>72000</v>
      </c>
      <c r="N152" s="3">
        <v>28500</v>
      </c>
      <c r="O152" s="3">
        <v>43500</v>
      </c>
      <c r="P152" s="4">
        <v>0.60416666666666663</v>
      </c>
      <c r="Q152" t="s">
        <v>39</v>
      </c>
      <c r="R152" t="s">
        <v>26</v>
      </c>
    </row>
    <row r="153" spans="1:18" x14ac:dyDescent="0.25">
      <c r="A153">
        <v>152</v>
      </c>
      <c r="B153" s="2">
        <v>45905</v>
      </c>
      <c r="C153" t="s">
        <v>18</v>
      </c>
      <c r="D153" t="s">
        <v>62</v>
      </c>
      <c r="E153" t="s">
        <v>20</v>
      </c>
      <c r="F153" t="s">
        <v>21</v>
      </c>
      <c r="G153" t="s">
        <v>59</v>
      </c>
      <c r="H153" t="s">
        <v>31</v>
      </c>
      <c r="I153" t="s">
        <v>60</v>
      </c>
      <c r="J153">
        <v>3</v>
      </c>
      <c r="K153" s="3">
        <v>28000</v>
      </c>
      <c r="L153" s="3">
        <v>11000</v>
      </c>
      <c r="M153" s="3">
        <v>84000</v>
      </c>
      <c r="N153" s="3">
        <v>33000</v>
      </c>
      <c r="O153" s="3">
        <v>51000</v>
      </c>
      <c r="P153" s="4">
        <v>0.6071428571428571</v>
      </c>
      <c r="Q153" t="s">
        <v>39</v>
      </c>
      <c r="R153" t="s">
        <v>26</v>
      </c>
    </row>
    <row r="154" spans="1:18" x14ac:dyDescent="0.25">
      <c r="A154">
        <v>153</v>
      </c>
      <c r="B154" s="2">
        <v>45513</v>
      </c>
      <c r="C154" t="s">
        <v>18</v>
      </c>
      <c r="D154" t="s">
        <v>62</v>
      </c>
      <c r="E154" t="s">
        <v>20</v>
      </c>
      <c r="F154" t="s">
        <v>45</v>
      </c>
      <c r="G154" t="s">
        <v>59</v>
      </c>
      <c r="H154" t="s">
        <v>31</v>
      </c>
      <c r="I154" t="s">
        <v>60</v>
      </c>
      <c r="J154">
        <v>3</v>
      </c>
      <c r="K154" s="3">
        <v>28000</v>
      </c>
      <c r="L154" s="3">
        <v>11000</v>
      </c>
      <c r="M154" s="3">
        <v>84000</v>
      </c>
      <c r="N154" s="3">
        <v>33000</v>
      </c>
      <c r="O154" s="3">
        <v>51000</v>
      </c>
      <c r="P154" s="4">
        <v>0.6071428571428571</v>
      </c>
      <c r="Q154" t="s">
        <v>25</v>
      </c>
      <c r="R154" t="s">
        <v>26</v>
      </c>
    </row>
    <row r="155" spans="1:18" x14ac:dyDescent="0.25">
      <c r="A155">
        <v>154</v>
      </c>
      <c r="B155" s="2">
        <v>45449</v>
      </c>
      <c r="C155" t="s">
        <v>27</v>
      </c>
      <c r="D155" t="s">
        <v>28</v>
      </c>
      <c r="E155" t="s">
        <v>29</v>
      </c>
      <c r="F155" t="s">
        <v>21</v>
      </c>
      <c r="G155" t="s">
        <v>22</v>
      </c>
      <c r="H155" t="s">
        <v>23</v>
      </c>
      <c r="I155" t="s">
        <v>24</v>
      </c>
      <c r="J155">
        <v>1</v>
      </c>
      <c r="K155" s="3">
        <v>220000</v>
      </c>
      <c r="L155" s="3">
        <v>145000</v>
      </c>
      <c r="M155" s="3">
        <v>220000</v>
      </c>
      <c r="N155" s="3">
        <v>145000</v>
      </c>
      <c r="O155" s="3">
        <v>75000</v>
      </c>
      <c r="P155" s="4">
        <v>0.34090909090909088</v>
      </c>
      <c r="Q155" t="s">
        <v>25</v>
      </c>
      <c r="R155" t="s">
        <v>26</v>
      </c>
    </row>
    <row r="156" spans="1:18" x14ac:dyDescent="0.25">
      <c r="A156">
        <v>155</v>
      </c>
      <c r="B156" s="2">
        <v>45613</v>
      </c>
      <c r="C156" t="s">
        <v>18</v>
      </c>
      <c r="D156" t="s">
        <v>62</v>
      </c>
      <c r="E156" t="s">
        <v>20</v>
      </c>
      <c r="F156" t="s">
        <v>45</v>
      </c>
      <c r="G156" t="s">
        <v>52</v>
      </c>
      <c r="H156" t="s">
        <v>53</v>
      </c>
      <c r="I156" t="s">
        <v>54</v>
      </c>
      <c r="J156">
        <v>3</v>
      </c>
      <c r="K156" s="3">
        <v>28000</v>
      </c>
      <c r="L156" s="3">
        <v>11000</v>
      </c>
      <c r="M156" s="3">
        <v>84000</v>
      </c>
      <c r="N156" s="3">
        <v>33000</v>
      </c>
      <c r="O156" s="3">
        <v>51000</v>
      </c>
      <c r="P156" s="4">
        <v>0.6071428571428571</v>
      </c>
      <c r="Q156" t="s">
        <v>25</v>
      </c>
      <c r="R156" t="s">
        <v>26</v>
      </c>
    </row>
    <row r="157" spans="1:18" x14ac:dyDescent="0.25">
      <c r="A157">
        <v>156</v>
      </c>
      <c r="B157" s="2">
        <v>45660</v>
      </c>
      <c r="C157" t="s">
        <v>27</v>
      </c>
      <c r="D157" t="s">
        <v>55</v>
      </c>
      <c r="E157" t="s">
        <v>51</v>
      </c>
      <c r="F157" t="s">
        <v>45</v>
      </c>
      <c r="G157" t="s">
        <v>36</v>
      </c>
      <c r="H157" t="s">
        <v>37</v>
      </c>
      <c r="I157" t="s">
        <v>38</v>
      </c>
      <c r="J157">
        <v>3</v>
      </c>
      <c r="K157" s="3">
        <v>520000</v>
      </c>
      <c r="L157" s="3">
        <v>365000</v>
      </c>
      <c r="M157" s="3">
        <v>1560000</v>
      </c>
      <c r="N157" s="3">
        <v>1095000</v>
      </c>
      <c r="O157" s="3">
        <v>465000</v>
      </c>
      <c r="P157" s="4">
        <v>0.29807692307692307</v>
      </c>
      <c r="Q157" t="s">
        <v>25</v>
      </c>
      <c r="R157" t="s">
        <v>26</v>
      </c>
    </row>
    <row r="158" spans="1:18" x14ac:dyDescent="0.25">
      <c r="A158">
        <v>157</v>
      </c>
      <c r="B158" s="2">
        <v>45632</v>
      </c>
      <c r="C158" t="s">
        <v>27</v>
      </c>
      <c r="D158" t="s">
        <v>42</v>
      </c>
      <c r="E158" t="s">
        <v>29</v>
      </c>
      <c r="F158" t="s">
        <v>45</v>
      </c>
      <c r="G158" t="s">
        <v>36</v>
      </c>
      <c r="H158" t="s">
        <v>37</v>
      </c>
      <c r="I158" t="s">
        <v>38</v>
      </c>
      <c r="J158">
        <v>3</v>
      </c>
      <c r="K158" s="3">
        <v>780000</v>
      </c>
      <c r="L158" s="3">
        <v>590000</v>
      </c>
      <c r="M158" s="3">
        <v>2340000</v>
      </c>
      <c r="N158" s="3">
        <v>1770000</v>
      </c>
      <c r="O158" s="3">
        <v>570000</v>
      </c>
      <c r="P158" s="4">
        <v>0.24358974358974361</v>
      </c>
      <c r="Q158" t="s">
        <v>33</v>
      </c>
      <c r="R158" t="s">
        <v>26</v>
      </c>
    </row>
    <row r="159" spans="1:18" x14ac:dyDescent="0.25">
      <c r="A159">
        <v>158</v>
      </c>
      <c r="B159" s="2">
        <v>45947</v>
      </c>
      <c r="C159" t="s">
        <v>27</v>
      </c>
      <c r="D159" t="s">
        <v>19</v>
      </c>
      <c r="E159" t="s">
        <v>20</v>
      </c>
      <c r="F159" t="s">
        <v>21</v>
      </c>
      <c r="G159" t="s">
        <v>56</v>
      </c>
      <c r="H159" t="s">
        <v>57</v>
      </c>
      <c r="I159" t="s">
        <v>58</v>
      </c>
      <c r="J159">
        <v>4</v>
      </c>
      <c r="K159" s="3">
        <v>24000</v>
      </c>
      <c r="L159" s="3">
        <v>9500</v>
      </c>
      <c r="M159" s="3">
        <v>96000</v>
      </c>
      <c r="N159" s="3">
        <v>38000</v>
      </c>
      <c r="O159" s="3">
        <v>58000</v>
      </c>
      <c r="P159" s="4">
        <v>0.60416666666666663</v>
      </c>
      <c r="Q159" t="s">
        <v>25</v>
      </c>
      <c r="R159" t="s">
        <v>26</v>
      </c>
    </row>
    <row r="160" spans="1:18" x14ac:dyDescent="0.25">
      <c r="A160">
        <v>159</v>
      </c>
      <c r="B160" s="2">
        <v>45969</v>
      </c>
      <c r="C160" t="s">
        <v>18</v>
      </c>
      <c r="D160" t="s">
        <v>50</v>
      </c>
      <c r="E160" t="s">
        <v>51</v>
      </c>
      <c r="F160" t="s">
        <v>45</v>
      </c>
      <c r="G160" t="s">
        <v>22</v>
      </c>
      <c r="H160" t="s">
        <v>23</v>
      </c>
      <c r="I160" t="s">
        <v>24</v>
      </c>
      <c r="J160">
        <v>3</v>
      </c>
      <c r="K160" s="3">
        <v>310000</v>
      </c>
      <c r="L160" s="3">
        <v>210000</v>
      </c>
      <c r="M160" s="3">
        <v>930000</v>
      </c>
      <c r="N160" s="3">
        <v>630000</v>
      </c>
      <c r="O160" s="3">
        <v>300000</v>
      </c>
      <c r="P160" s="4">
        <v>0.32258064516129031</v>
      </c>
      <c r="Q160" t="s">
        <v>39</v>
      </c>
      <c r="R160" t="s">
        <v>26</v>
      </c>
    </row>
    <row r="161" spans="1:18" x14ac:dyDescent="0.25">
      <c r="A161">
        <v>160</v>
      </c>
      <c r="B161" s="2">
        <v>45369</v>
      </c>
      <c r="C161" t="s">
        <v>18</v>
      </c>
      <c r="D161" t="s">
        <v>50</v>
      </c>
      <c r="E161" t="s">
        <v>51</v>
      </c>
      <c r="F161" t="s">
        <v>21</v>
      </c>
      <c r="G161" t="s">
        <v>59</v>
      </c>
      <c r="H161" t="s">
        <v>31</v>
      </c>
      <c r="I161" t="s">
        <v>60</v>
      </c>
      <c r="J161">
        <v>4</v>
      </c>
      <c r="K161" s="3">
        <v>310000</v>
      </c>
      <c r="L161" s="3">
        <v>210000</v>
      </c>
      <c r="M161" s="3">
        <v>1240000</v>
      </c>
      <c r="N161" s="3">
        <v>840000</v>
      </c>
      <c r="O161" s="3">
        <v>400000</v>
      </c>
      <c r="P161" s="4">
        <v>0.32258064516129031</v>
      </c>
      <c r="Q161" t="s">
        <v>25</v>
      </c>
      <c r="R161" t="s">
        <v>26</v>
      </c>
    </row>
    <row r="162" spans="1:18" x14ac:dyDescent="0.25">
      <c r="A162">
        <v>161</v>
      </c>
      <c r="B162" s="2">
        <v>45999</v>
      </c>
      <c r="C162" t="s">
        <v>18</v>
      </c>
      <c r="D162" t="s">
        <v>34</v>
      </c>
      <c r="E162" t="s">
        <v>35</v>
      </c>
      <c r="F162" t="s">
        <v>21</v>
      </c>
      <c r="G162" t="s">
        <v>46</v>
      </c>
      <c r="H162" t="s">
        <v>47</v>
      </c>
      <c r="I162" t="s">
        <v>48</v>
      </c>
      <c r="J162">
        <v>1</v>
      </c>
      <c r="K162" s="3">
        <v>115000</v>
      </c>
      <c r="L162" s="3">
        <v>68000</v>
      </c>
      <c r="M162" s="3">
        <v>115000</v>
      </c>
      <c r="N162" s="3">
        <v>68000</v>
      </c>
      <c r="O162" s="3">
        <v>47000</v>
      </c>
      <c r="P162" s="4">
        <v>0.40869565217391313</v>
      </c>
      <c r="Q162" t="s">
        <v>39</v>
      </c>
      <c r="R162" t="s">
        <v>26</v>
      </c>
    </row>
    <row r="163" spans="1:18" x14ac:dyDescent="0.25">
      <c r="A163">
        <v>162</v>
      </c>
      <c r="B163" s="2">
        <v>45450</v>
      </c>
      <c r="C163" t="s">
        <v>18</v>
      </c>
      <c r="D163" t="s">
        <v>40</v>
      </c>
      <c r="E163" t="s">
        <v>35</v>
      </c>
      <c r="F163" t="s">
        <v>45</v>
      </c>
      <c r="G163" t="s">
        <v>59</v>
      </c>
      <c r="H163" t="s">
        <v>31</v>
      </c>
      <c r="I163" t="s">
        <v>60</v>
      </c>
      <c r="J163">
        <v>3</v>
      </c>
      <c r="K163" s="3">
        <v>185000</v>
      </c>
      <c r="L163" s="3">
        <v>108000</v>
      </c>
      <c r="M163" s="3">
        <v>555000</v>
      </c>
      <c r="N163" s="3">
        <v>324000</v>
      </c>
      <c r="O163" s="3">
        <v>231000</v>
      </c>
      <c r="P163" s="4">
        <v>0.41621621621621618</v>
      </c>
      <c r="Q163" t="s">
        <v>39</v>
      </c>
      <c r="R163" t="s">
        <v>26</v>
      </c>
    </row>
    <row r="164" spans="1:18" x14ac:dyDescent="0.25">
      <c r="A164">
        <v>163</v>
      </c>
      <c r="B164" s="2">
        <v>45978</v>
      </c>
      <c r="C164" t="s">
        <v>27</v>
      </c>
      <c r="D164" t="s">
        <v>34</v>
      </c>
      <c r="E164" t="s">
        <v>35</v>
      </c>
      <c r="F164" t="s">
        <v>21</v>
      </c>
      <c r="G164" t="s">
        <v>56</v>
      </c>
      <c r="H164" t="s">
        <v>57</v>
      </c>
      <c r="I164" t="s">
        <v>58</v>
      </c>
      <c r="J164">
        <v>1</v>
      </c>
      <c r="K164" s="3">
        <v>115000</v>
      </c>
      <c r="L164" s="3">
        <v>68000</v>
      </c>
      <c r="M164" s="3">
        <v>115000</v>
      </c>
      <c r="N164" s="3">
        <v>68000</v>
      </c>
      <c r="O164" s="3">
        <v>47000</v>
      </c>
      <c r="P164" s="4">
        <v>0.40869565217391313</v>
      </c>
      <c r="Q164" t="s">
        <v>41</v>
      </c>
      <c r="R164" t="s">
        <v>26</v>
      </c>
    </row>
    <row r="165" spans="1:18" x14ac:dyDescent="0.25">
      <c r="A165">
        <v>164</v>
      </c>
      <c r="B165" s="2">
        <v>45772</v>
      </c>
      <c r="C165" t="s">
        <v>27</v>
      </c>
      <c r="D165" t="s">
        <v>28</v>
      </c>
      <c r="E165" t="s">
        <v>29</v>
      </c>
      <c r="F165" t="s">
        <v>45</v>
      </c>
      <c r="G165" t="s">
        <v>56</v>
      </c>
      <c r="H165" t="s">
        <v>57</v>
      </c>
      <c r="I165" t="s">
        <v>58</v>
      </c>
      <c r="J165">
        <v>2</v>
      </c>
      <c r="K165" s="3">
        <v>220000</v>
      </c>
      <c r="L165" s="3">
        <v>145000</v>
      </c>
      <c r="M165" s="3">
        <v>440000</v>
      </c>
      <c r="N165" s="3">
        <v>290000</v>
      </c>
      <c r="O165" s="3">
        <v>150000</v>
      </c>
      <c r="P165" s="4">
        <v>0.34090909090909088</v>
      </c>
      <c r="Q165" t="s">
        <v>41</v>
      </c>
      <c r="R165" t="s">
        <v>26</v>
      </c>
    </row>
    <row r="166" spans="1:18" x14ac:dyDescent="0.25">
      <c r="A166">
        <v>165</v>
      </c>
      <c r="B166" s="2">
        <v>45709</v>
      </c>
      <c r="C166" t="s">
        <v>18</v>
      </c>
      <c r="D166" t="s">
        <v>55</v>
      </c>
      <c r="E166" t="s">
        <v>51</v>
      </c>
      <c r="F166" t="s">
        <v>45</v>
      </c>
      <c r="G166" t="s">
        <v>56</v>
      </c>
      <c r="H166" t="s">
        <v>57</v>
      </c>
      <c r="I166" t="s">
        <v>58</v>
      </c>
      <c r="J166">
        <v>4</v>
      </c>
      <c r="K166" s="3">
        <v>520000</v>
      </c>
      <c r="L166" s="3">
        <v>365000</v>
      </c>
      <c r="M166" s="3">
        <v>2080000</v>
      </c>
      <c r="N166" s="3">
        <v>1460000</v>
      </c>
      <c r="O166" s="3">
        <v>620000</v>
      </c>
      <c r="P166" s="4">
        <v>0.29807692307692307</v>
      </c>
      <c r="Q166" t="s">
        <v>33</v>
      </c>
      <c r="R166" t="s">
        <v>26</v>
      </c>
    </row>
    <row r="167" spans="1:18" x14ac:dyDescent="0.25">
      <c r="A167">
        <v>166</v>
      </c>
      <c r="B167" s="2">
        <v>45887</v>
      </c>
      <c r="C167" t="s">
        <v>27</v>
      </c>
      <c r="D167" t="s">
        <v>50</v>
      </c>
      <c r="E167" t="s">
        <v>51</v>
      </c>
      <c r="F167" t="s">
        <v>21</v>
      </c>
      <c r="G167" t="s">
        <v>56</v>
      </c>
      <c r="H167" t="s">
        <v>57</v>
      </c>
      <c r="I167" t="s">
        <v>58</v>
      </c>
      <c r="J167">
        <v>3</v>
      </c>
      <c r="K167" s="3">
        <v>310000</v>
      </c>
      <c r="L167" s="3">
        <v>210000</v>
      </c>
      <c r="M167" s="3">
        <v>930000</v>
      </c>
      <c r="N167" s="3">
        <v>630000</v>
      </c>
      <c r="O167" s="3">
        <v>300000</v>
      </c>
      <c r="P167" s="4">
        <v>0.32258064516129031</v>
      </c>
      <c r="Q167" t="s">
        <v>41</v>
      </c>
      <c r="R167" t="s">
        <v>26</v>
      </c>
    </row>
    <row r="168" spans="1:18" x14ac:dyDescent="0.25">
      <c r="A168">
        <v>167</v>
      </c>
      <c r="B168" s="2">
        <v>45510</v>
      </c>
      <c r="C168" t="s">
        <v>27</v>
      </c>
      <c r="D168" t="s">
        <v>19</v>
      </c>
      <c r="E168" t="s">
        <v>20</v>
      </c>
      <c r="F168" t="s">
        <v>45</v>
      </c>
      <c r="G168" t="s">
        <v>43</v>
      </c>
      <c r="H168" t="s">
        <v>37</v>
      </c>
      <c r="I168" t="s">
        <v>44</v>
      </c>
      <c r="J168">
        <v>1</v>
      </c>
      <c r="K168" s="3">
        <v>24000</v>
      </c>
      <c r="L168" s="3">
        <v>9500</v>
      </c>
      <c r="M168" s="3">
        <v>24000</v>
      </c>
      <c r="N168" s="3">
        <v>9500</v>
      </c>
      <c r="O168" s="3">
        <v>14500</v>
      </c>
      <c r="P168" s="4">
        <v>0.60416666666666663</v>
      </c>
      <c r="Q168" t="s">
        <v>33</v>
      </c>
      <c r="R168" t="s">
        <v>26</v>
      </c>
    </row>
    <row r="169" spans="1:18" x14ac:dyDescent="0.25">
      <c r="A169">
        <v>168</v>
      </c>
      <c r="B169" s="2">
        <v>45972</v>
      </c>
      <c r="C169" t="s">
        <v>27</v>
      </c>
      <c r="D169" t="s">
        <v>55</v>
      </c>
      <c r="E169" t="s">
        <v>51</v>
      </c>
      <c r="F169" t="s">
        <v>21</v>
      </c>
      <c r="G169" t="s">
        <v>52</v>
      </c>
      <c r="H169" t="s">
        <v>53</v>
      </c>
      <c r="I169" t="s">
        <v>54</v>
      </c>
      <c r="J169">
        <v>3</v>
      </c>
      <c r="K169" s="3">
        <v>520000</v>
      </c>
      <c r="L169" s="3">
        <v>365000</v>
      </c>
      <c r="M169" s="3">
        <v>1560000</v>
      </c>
      <c r="N169" s="3">
        <v>1095000</v>
      </c>
      <c r="O169" s="3">
        <v>465000</v>
      </c>
      <c r="P169" s="4">
        <v>0.29807692307692307</v>
      </c>
      <c r="Q169" t="s">
        <v>41</v>
      </c>
      <c r="R169" t="s">
        <v>26</v>
      </c>
    </row>
    <row r="170" spans="1:18" x14ac:dyDescent="0.25">
      <c r="A170">
        <v>169</v>
      </c>
      <c r="B170" s="2">
        <v>45720</v>
      </c>
      <c r="C170" t="s">
        <v>18</v>
      </c>
      <c r="D170" t="s">
        <v>49</v>
      </c>
      <c r="E170" t="s">
        <v>20</v>
      </c>
      <c r="F170" t="s">
        <v>45</v>
      </c>
      <c r="G170" t="s">
        <v>59</v>
      </c>
      <c r="H170" t="s">
        <v>31</v>
      </c>
      <c r="I170" t="s">
        <v>60</v>
      </c>
      <c r="J170">
        <v>4</v>
      </c>
      <c r="K170" s="3">
        <v>45000</v>
      </c>
      <c r="L170" s="3">
        <v>21000</v>
      </c>
      <c r="M170" s="3">
        <v>180000</v>
      </c>
      <c r="N170" s="3">
        <v>84000</v>
      </c>
      <c r="O170" s="3">
        <v>96000</v>
      </c>
      <c r="P170" s="4">
        <v>0.53333333333333333</v>
      </c>
      <c r="Q170" t="s">
        <v>41</v>
      </c>
      <c r="R170" t="s">
        <v>26</v>
      </c>
    </row>
    <row r="171" spans="1:18" x14ac:dyDescent="0.25">
      <c r="A171">
        <v>170</v>
      </c>
      <c r="B171" s="2">
        <v>45436</v>
      </c>
      <c r="C171" t="s">
        <v>18</v>
      </c>
      <c r="D171" t="s">
        <v>34</v>
      </c>
      <c r="E171" t="s">
        <v>35</v>
      </c>
      <c r="F171" t="s">
        <v>21</v>
      </c>
      <c r="G171" t="s">
        <v>46</v>
      </c>
      <c r="H171" t="s">
        <v>47</v>
      </c>
      <c r="I171" t="s">
        <v>48</v>
      </c>
      <c r="J171">
        <v>4</v>
      </c>
      <c r="K171" s="3">
        <v>115000</v>
      </c>
      <c r="L171" s="3">
        <v>68000</v>
      </c>
      <c r="M171" s="3">
        <v>460000</v>
      </c>
      <c r="N171" s="3">
        <v>272000</v>
      </c>
      <c r="O171" s="3">
        <v>188000</v>
      </c>
      <c r="P171" s="4">
        <v>0.40869565217391313</v>
      </c>
      <c r="Q171" t="s">
        <v>25</v>
      </c>
      <c r="R171" t="s">
        <v>26</v>
      </c>
    </row>
    <row r="172" spans="1:18" x14ac:dyDescent="0.25">
      <c r="A172">
        <v>171</v>
      </c>
      <c r="B172" s="2">
        <v>45529</v>
      </c>
      <c r="C172" t="s">
        <v>18</v>
      </c>
      <c r="D172" t="s">
        <v>50</v>
      </c>
      <c r="E172" t="s">
        <v>51</v>
      </c>
      <c r="F172" t="s">
        <v>45</v>
      </c>
      <c r="G172" t="s">
        <v>30</v>
      </c>
      <c r="H172" t="s">
        <v>31</v>
      </c>
      <c r="I172" t="s">
        <v>32</v>
      </c>
      <c r="J172">
        <v>3</v>
      </c>
      <c r="K172" s="3">
        <v>310000</v>
      </c>
      <c r="L172" s="3">
        <v>210000</v>
      </c>
      <c r="M172" s="3">
        <v>930000</v>
      </c>
      <c r="N172" s="3">
        <v>630000</v>
      </c>
      <c r="O172" s="3">
        <v>300000</v>
      </c>
      <c r="P172" s="4">
        <v>0.32258064516129031</v>
      </c>
      <c r="Q172" t="s">
        <v>39</v>
      </c>
      <c r="R172" t="s">
        <v>26</v>
      </c>
    </row>
    <row r="173" spans="1:18" x14ac:dyDescent="0.25">
      <c r="A173">
        <v>172</v>
      </c>
      <c r="B173" s="2">
        <v>45391</v>
      </c>
      <c r="C173" t="s">
        <v>27</v>
      </c>
      <c r="D173" t="s">
        <v>62</v>
      </c>
      <c r="E173" t="s">
        <v>20</v>
      </c>
      <c r="F173" t="s">
        <v>21</v>
      </c>
      <c r="G173" t="s">
        <v>46</v>
      </c>
      <c r="H173" t="s">
        <v>47</v>
      </c>
      <c r="I173" t="s">
        <v>48</v>
      </c>
      <c r="J173">
        <v>1</v>
      </c>
      <c r="K173" s="3">
        <v>28000</v>
      </c>
      <c r="L173" s="3">
        <v>11000</v>
      </c>
      <c r="M173" s="3">
        <v>28000</v>
      </c>
      <c r="N173" s="3">
        <v>11000</v>
      </c>
      <c r="O173" s="3">
        <v>17000</v>
      </c>
      <c r="P173" s="4">
        <v>0.6071428571428571</v>
      </c>
      <c r="Q173" t="s">
        <v>39</v>
      </c>
      <c r="R173" t="s">
        <v>26</v>
      </c>
    </row>
    <row r="174" spans="1:18" x14ac:dyDescent="0.25">
      <c r="A174">
        <v>173</v>
      </c>
      <c r="B174" s="2">
        <v>45504</v>
      </c>
      <c r="C174" t="s">
        <v>18</v>
      </c>
      <c r="D174" t="s">
        <v>49</v>
      </c>
      <c r="E174" t="s">
        <v>20</v>
      </c>
      <c r="F174" t="s">
        <v>45</v>
      </c>
      <c r="G174" t="s">
        <v>43</v>
      </c>
      <c r="H174" t="s">
        <v>37</v>
      </c>
      <c r="I174" t="s">
        <v>44</v>
      </c>
      <c r="J174">
        <v>2</v>
      </c>
      <c r="K174" s="3">
        <v>45000</v>
      </c>
      <c r="L174" s="3">
        <v>21000</v>
      </c>
      <c r="M174" s="3">
        <v>90000</v>
      </c>
      <c r="N174" s="3">
        <v>42000</v>
      </c>
      <c r="O174" s="3">
        <v>48000</v>
      </c>
      <c r="P174" s="4">
        <v>0.53333333333333333</v>
      </c>
      <c r="Q174" t="s">
        <v>41</v>
      </c>
      <c r="R174" t="s">
        <v>26</v>
      </c>
    </row>
    <row r="175" spans="1:18" x14ac:dyDescent="0.25">
      <c r="A175">
        <v>174</v>
      </c>
      <c r="B175" s="2">
        <v>45320</v>
      </c>
      <c r="C175" t="s">
        <v>18</v>
      </c>
      <c r="D175" t="s">
        <v>34</v>
      </c>
      <c r="E175" t="s">
        <v>35</v>
      </c>
      <c r="F175" t="s">
        <v>21</v>
      </c>
      <c r="G175" t="s">
        <v>22</v>
      </c>
      <c r="H175" t="s">
        <v>23</v>
      </c>
      <c r="I175" t="s">
        <v>24</v>
      </c>
      <c r="J175">
        <v>2</v>
      </c>
      <c r="K175" s="3">
        <v>115000</v>
      </c>
      <c r="L175" s="3">
        <v>68000</v>
      </c>
      <c r="M175" s="3">
        <v>230000</v>
      </c>
      <c r="N175" s="3">
        <v>136000</v>
      </c>
      <c r="O175" s="3">
        <v>94000</v>
      </c>
      <c r="P175" s="4">
        <v>0.40869565217391313</v>
      </c>
      <c r="Q175" t="s">
        <v>25</v>
      </c>
      <c r="R175" t="s">
        <v>26</v>
      </c>
    </row>
    <row r="176" spans="1:18" x14ac:dyDescent="0.25">
      <c r="A176">
        <v>175</v>
      </c>
      <c r="B176" s="2">
        <v>45727</v>
      </c>
      <c r="C176" t="s">
        <v>27</v>
      </c>
      <c r="D176" t="s">
        <v>55</v>
      </c>
      <c r="E176" t="s">
        <v>51</v>
      </c>
      <c r="F176" t="s">
        <v>21</v>
      </c>
      <c r="G176" t="s">
        <v>30</v>
      </c>
      <c r="H176" t="s">
        <v>31</v>
      </c>
      <c r="I176" t="s">
        <v>32</v>
      </c>
      <c r="J176">
        <v>1</v>
      </c>
      <c r="K176" s="3">
        <v>520000</v>
      </c>
      <c r="L176" s="3">
        <v>365000</v>
      </c>
      <c r="M176" s="3">
        <v>520000</v>
      </c>
      <c r="N176" s="3">
        <v>365000</v>
      </c>
      <c r="O176" s="3">
        <v>155000</v>
      </c>
      <c r="P176" s="4">
        <v>0.29807692307692307</v>
      </c>
      <c r="Q176" t="s">
        <v>33</v>
      </c>
      <c r="R176" t="s">
        <v>26</v>
      </c>
    </row>
    <row r="177" spans="1:18" x14ac:dyDescent="0.25">
      <c r="A177">
        <v>176</v>
      </c>
      <c r="B177" s="2">
        <v>45964</v>
      </c>
      <c r="C177" t="s">
        <v>18</v>
      </c>
      <c r="D177" t="s">
        <v>19</v>
      </c>
      <c r="E177" t="s">
        <v>20</v>
      </c>
      <c r="F177" t="s">
        <v>45</v>
      </c>
      <c r="G177" t="s">
        <v>22</v>
      </c>
      <c r="H177" t="s">
        <v>23</v>
      </c>
      <c r="I177" t="s">
        <v>24</v>
      </c>
      <c r="J177">
        <v>3</v>
      </c>
      <c r="K177" s="3">
        <v>24000</v>
      </c>
      <c r="L177" s="3">
        <v>9500</v>
      </c>
      <c r="M177" s="3">
        <v>72000</v>
      </c>
      <c r="N177" s="3">
        <v>28500</v>
      </c>
      <c r="O177" s="3">
        <v>43500</v>
      </c>
      <c r="P177" s="4">
        <v>0.60416666666666663</v>
      </c>
      <c r="Q177" t="s">
        <v>39</v>
      </c>
      <c r="R177" t="s">
        <v>26</v>
      </c>
    </row>
    <row r="178" spans="1:18" x14ac:dyDescent="0.25">
      <c r="A178">
        <v>177</v>
      </c>
      <c r="B178" s="2">
        <v>45517</v>
      </c>
      <c r="C178" t="s">
        <v>27</v>
      </c>
      <c r="D178" t="s">
        <v>55</v>
      </c>
      <c r="E178" t="s">
        <v>51</v>
      </c>
      <c r="F178" t="s">
        <v>45</v>
      </c>
      <c r="G178" t="s">
        <v>36</v>
      </c>
      <c r="H178" t="s">
        <v>37</v>
      </c>
      <c r="I178" t="s">
        <v>38</v>
      </c>
      <c r="J178">
        <v>3</v>
      </c>
      <c r="K178" s="3">
        <v>520000</v>
      </c>
      <c r="L178" s="3">
        <v>365000</v>
      </c>
      <c r="M178" s="3">
        <v>1560000</v>
      </c>
      <c r="N178" s="3">
        <v>1095000</v>
      </c>
      <c r="O178" s="3">
        <v>465000</v>
      </c>
      <c r="P178" s="4">
        <v>0.29807692307692307</v>
      </c>
      <c r="Q178" t="s">
        <v>33</v>
      </c>
      <c r="R178" t="s">
        <v>26</v>
      </c>
    </row>
    <row r="179" spans="1:18" x14ac:dyDescent="0.25">
      <c r="A179">
        <v>178</v>
      </c>
      <c r="B179" s="2">
        <v>45352</v>
      </c>
      <c r="C179" t="s">
        <v>18</v>
      </c>
      <c r="D179" t="s">
        <v>62</v>
      </c>
      <c r="E179" t="s">
        <v>20</v>
      </c>
      <c r="F179" t="s">
        <v>21</v>
      </c>
      <c r="G179" t="s">
        <v>43</v>
      </c>
      <c r="H179" t="s">
        <v>37</v>
      </c>
      <c r="I179" t="s">
        <v>44</v>
      </c>
      <c r="J179">
        <v>1</v>
      </c>
      <c r="K179" s="3">
        <v>28000</v>
      </c>
      <c r="L179" s="3">
        <v>11000</v>
      </c>
      <c r="M179" s="3">
        <v>28000</v>
      </c>
      <c r="N179" s="3">
        <v>11000</v>
      </c>
      <c r="O179" s="3">
        <v>17000</v>
      </c>
      <c r="P179" s="4">
        <v>0.6071428571428571</v>
      </c>
      <c r="Q179" t="s">
        <v>33</v>
      </c>
      <c r="R179" t="s">
        <v>26</v>
      </c>
    </row>
    <row r="180" spans="1:18" x14ac:dyDescent="0.25">
      <c r="A180">
        <v>179</v>
      </c>
      <c r="B180" s="2">
        <v>45367</v>
      </c>
      <c r="C180" t="s">
        <v>18</v>
      </c>
      <c r="D180" t="s">
        <v>42</v>
      </c>
      <c r="E180" t="s">
        <v>29</v>
      </c>
      <c r="F180" t="s">
        <v>21</v>
      </c>
      <c r="G180" t="s">
        <v>30</v>
      </c>
      <c r="H180" t="s">
        <v>31</v>
      </c>
      <c r="I180" t="s">
        <v>32</v>
      </c>
      <c r="J180">
        <v>2</v>
      </c>
      <c r="K180" s="3">
        <v>780000</v>
      </c>
      <c r="L180" s="3">
        <v>590000</v>
      </c>
      <c r="M180" s="3">
        <v>1560000</v>
      </c>
      <c r="N180" s="3">
        <v>1180000</v>
      </c>
      <c r="O180" s="3">
        <v>380000</v>
      </c>
      <c r="P180" s="4">
        <v>0.24358974358974361</v>
      </c>
      <c r="Q180" t="s">
        <v>25</v>
      </c>
      <c r="R180" t="s">
        <v>26</v>
      </c>
    </row>
    <row r="181" spans="1:18" x14ac:dyDescent="0.25">
      <c r="A181">
        <v>180</v>
      </c>
      <c r="B181" s="2">
        <v>45729</v>
      </c>
      <c r="C181" t="s">
        <v>27</v>
      </c>
      <c r="D181" t="s">
        <v>61</v>
      </c>
      <c r="E181" t="s">
        <v>29</v>
      </c>
      <c r="F181" t="s">
        <v>45</v>
      </c>
      <c r="G181" t="s">
        <v>22</v>
      </c>
      <c r="H181" t="s">
        <v>23</v>
      </c>
      <c r="I181" t="s">
        <v>24</v>
      </c>
      <c r="J181">
        <v>3</v>
      </c>
      <c r="K181" s="3">
        <v>390000</v>
      </c>
      <c r="L181" s="3">
        <v>270000</v>
      </c>
      <c r="M181" s="3">
        <v>1170000</v>
      </c>
      <c r="N181" s="3">
        <v>810000</v>
      </c>
      <c r="O181" s="3">
        <v>360000</v>
      </c>
      <c r="P181" s="4">
        <v>0.30769230769230771</v>
      </c>
      <c r="Q181" t="s">
        <v>41</v>
      </c>
      <c r="R181" t="s">
        <v>26</v>
      </c>
    </row>
    <row r="182" spans="1:18" x14ac:dyDescent="0.25">
      <c r="A182">
        <v>181</v>
      </c>
      <c r="B182" s="2">
        <v>45700</v>
      </c>
      <c r="C182" t="s">
        <v>18</v>
      </c>
      <c r="D182" t="s">
        <v>34</v>
      </c>
      <c r="E182" t="s">
        <v>35</v>
      </c>
      <c r="F182" t="s">
        <v>45</v>
      </c>
      <c r="G182" t="s">
        <v>59</v>
      </c>
      <c r="H182" t="s">
        <v>31</v>
      </c>
      <c r="I182" t="s">
        <v>60</v>
      </c>
      <c r="J182">
        <v>4</v>
      </c>
      <c r="K182" s="3">
        <v>115000</v>
      </c>
      <c r="L182" s="3">
        <v>68000</v>
      </c>
      <c r="M182" s="3">
        <v>460000</v>
      </c>
      <c r="N182" s="3">
        <v>272000</v>
      </c>
      <c r="O182" s="3">
        <v>188000</v>
      </c>
      <c r="P182" s="4">
        <v>0.40869565217391313</v>
      </c>
      <c r="Q182" t="s">
        <v>41</v>
      </c>
      <c r="R182" t="s">
        <v>26</v>
      </c>
    </row>
    <row r="183" spans="1:18" x14ac:dyDescent="0.25">
      <c r="A183">
        <v>182</v>
      </c>
      <c r="B183" s="2">
        <v>45763</v>
      </c>
      <c r="C183" t="s">
        <v>18</v>
      </c>
      <c r="D183" t="s">
        <v>62</v>
      </c>
      <c r="E183" t="s">
        <v>20</v>
      </c>
      <c r="F183" t="s">
        <v>45</v>
      </c>
      <c r="G183" t="s">
        <v>59</v>
      </c>
      <c r="H183" t="s">
        <v>31</v>
      </c>
      <c r="I183" t="s">
        <v>60</v>
      </c>
      <c r="J183">
        <v>2</v>
      </c>
      <c r="K183" s="3">
        <v>28000</v>
      </c>
      <c r="L183" s="3">
        <v>11000</v>
      </c>
      <c r="M183" s="3">
        <v>56000</v>
      </c>
      <c r="N183" s="3">
        <v>22000</v>
      </c>
      <c r="O183" s="3">
        <v>34000</v>
      </c>
      <c r="P183" s="4">
        <v>0.6071428571428571</v>
      </c>
      <c r="Q183" t="s">
        <v>33</v>
      </c>
      <c r="R183" t="s">
        <v>26</v>
      </c>
    </row>
    <row r="184" spans="1:18" x14ac:dyDescent="0.25">
      <c r="A184">
        <v>183</v>
      </c>
      <c r="B184" s="2">
        <v>45306</v>
      </c>
      <c r="C184" t="s">
        <v>18</v>
      </c>
      <c r="D184" t="s">
        <v>62</v>
      </c>
      <c r="E184" t="s">
        <v>20</v>
      </c>
      <c r="F184" t="s">
        <v>45</v>
      </c>
      <c r="G184" t="s">
        <v>52</v>
      </c>
      <c r="H184" t="s">
        <v>53</v>
      </c>
      <c r="I184" t="s">
        <v>54</v>
      </c>
      <c r="J184">
        <v>4</v>
      </c>
      <c r="K184" s="3">
        <v>28000</v>
      </c>
      <c r="L184" s="3">
        <v>11000</v>
      </c>
      <c r="M184" s="3">
        <v>112000</v>
      </c>
      <c r="N184" s="3">
        <v>44000</v>
      </c>
      <c r="O184" s="3">
        <v>68000</v>
      </c>
      <c r="P184" s="4">
        <v>0.6071428571428571</v>
      </c>
      <c r="Q184" t="s">
        <v>39</v>
      </c>
      <c r="R184" t="s">
        <v>26</v>
      </c>
    </row>
    <row r="185" spans="1:18" x14ac:dyDescent="0.25">
      <c r="A185">
        <v>184</v>
      </c>
      <c r="B185" s="2">
        <v>45417</v>
      </c>
      <c r="C185" t="s">
        <v>27</v>
      </c>
      <c r="D185" t="s">
        <v>34</v>
      </c>
      <c r="E185" t="s">
        <v>35</v>
      </c>
      <c r="F185" t="s">
        <v>45</v>
      </c>
      <c r="G185" t="s">
        <v>52</v>
      </c>
      <c r="H185" t="s">
        <v>53</v>
      </c>
      <c r="I185" t="s">
        <v>54</v>
      </c>
      <c r="J185">
        <v>1</v>
      </c>
      <c r="K185" s="3">
        <v>115000</v>
      </c>
      <c r="L185" s="3">
        <v>68000</v>
      </c>
      <c r="M185" s="3">
        <v>115000</v>
      </c>
      <c r="N185" s="3">
        <v>68000</v>
      </c>
      <c r="O185" s="3">
        <v>47000</v>
      </c>
      <c r="P185" s="4">
        <v>0.40869565217391313</v>
      </c>
      <c r="Q185" t="s">
        <v>39</v>
      </c>
      <c r="R185" t="s">
        <v>26</v>
      </c>
    </row>
    <row r="186" spans="1:18" x14ac:dyDescent="0.25">
      <c r="A186">
        <v>185</v>
      </c>
      <c r="B186" s="2">
        <v>45666</v>
      </c>
      <c r="C186" t="s">
        <v>18</v>
      </c>
      <c r="D186" t="s">
        <v>40</v>
      </c>
      <c r="E186" t="s">
        <v>35</v>
      </c>
      <c r="F186" t="s">
        <v>21</v>
      </c>
      <c r="G186" t="s">
        <v>22</v>
      </c>
      <c r="H186" t="s">
        <v>23</v>
      </c>
      <c r="I186" t="s">
        <v>24</v>
      </c>
      <c r="J186">
        <v>1</v>
      </c>
      <c r="K186" s="3">
        <v>185000</v>
      </c>
      <c r="L186" s="3">
        <v>108000</v>
      </c>
      <c r="M186" s="3">
        <v>185000</v>
      </c>
      <c r="N186" s="3">
        <v>108000</v>
      </c>
      <c r="O186" s="3">
        <v>77000</v>
      </c>
      <c r="P186" s="4">
        <v>0.41621621621621618</v>
      </c>
      <c r="Q186" t="s">
        <v>39</v>
      </c>
      <c r="R186" t="s">
        <v>26</v>
      </c>
    </row>
    <row r="187" spans="1:18" x14ac:dyDescent="0.25">
      <c r="A187">
        <v>186</v>
      </c>
      <c r="B187" s="2">
        <v>45929</v>
      </c>
      <c r="C187" t="s">
        <v>27</v>
      </c>
      <c r="D187" t="s">
        <v>19</v>
      </c>
      <c r="E187" t="s">
        <v>20</v>
      </c>
      <c r="F187" t="s">
        <v>21</v>
      </c>
      <c r="G187" t="s">
        <v>30</v>
      </c>
      <c r="H187" t="s">
        <v>31</v>
      </c>
      <c r="I187" t="s">
        <v>32</v>
      </c>
      <c r="J187">
        <v>1</v>
      </c>
      <c r="K187" s="3">
        <v>24000</v>
      </c>
      <c r="L187" s="3">
        <v>9500</v>
      </c>
      <c r="M187" s="3">
        <v>24000</v>
      </c>
      <c r="N187" s="3">
        <v>9500</v>
      </c>
      <c r="O187" s="3">
        <v>14500</v>
      </c>
      <c r="P187" s="4">
        <v>0.60416666666666663</v>
      </c>
      <c r="Q187" t="s">
        <v>41</v>
      </c>
      <c r="R187" t="s">
        <v>26</v>
      </c>
    </row>
    <row r="188" spans="1:18" x14ac:dyDescent="0.25">
      <c r="A188">
        <v>187</v>
      </c>
      <c r="B188" s="2">
        <v>45528</v>
      </c>
      <c r="C188" t="s">
        <v>18</v>
      </c>
      <c r="D188" t="s">
        <v>40</v>
      </c>
      <c r="E188" t="s">
        <v>35</v>
      </c>
      <c r="F188" t="s">
        <v>45</v>
      </c>
      <c r="G188" t="s">
        <v>30</v>
      </c>
      <c r="H188" t="s">
        <v>31</v>
      </c>
      <c r="I188" t="s">
        <v>32</v>
      </c>
      <c r="J188">
        <v>4</v>
      </c>
      <c r="K188" s="3">
        <v>185000</v>
      </c>
      <c r="L188" s="3">
        <v>108000</v>
      </c>
      <c r="M188" s="3">
        <v>740000</v>
      </c>
      <c r="N188" s="3">
        <v>432000</v>
      </c>
      <c r="O188" s="3">
        <v>308000</v>
      </c>
      <c r="P188" s="4">
        <v>0.41621621621621618</v>
      </c>
      <c r="Q188" t="s">
        <v>41</v>
      </c>
      <c r="R188" t="s">
        <v>26</v>
      </c>
    </row>
    <row r="189" spans="1:18" x14ac:dyDescent="0.25">
      <c r="A189">
        <v>188</v>
      </c>
      <c r="B189" s="2">
        <v>45831</v>
      </c>
      <c r="C189" t="s">
        <v>27</v>
      </c>
      <c r="D189" t="s">
        <v>19</v>
      </c>
      <c r="E189" t="s">
        <v>20</v>
      </c>
      <c r="F189" t="s">
        <v>45</v>
      </c>
      <c r="G189" t="s">
        <v>56</v>
      </c>
      <c r="H189" t="s">
        <v>57</v>
      </c>
      <c r="I189" t="s">
        <v>58</v>
      </c>
      <c r="J189">
        <v>3</v>
      </c>
      <c r="K189" s="3">
        <v>24000</v>
      </c>
      <c r="L189" s="3">
        <v>9500</v>
      </c>
      <c r="M189" s="3">
        <v>72000</v>
      </c>
      <c r="N189" s="3">
        <v>28500</v>
      </c>
      <c r="O189" s="3">
        <v>43500</v>
      </c>
      <c r="P189" s="4">
        <v>0.60416666666666663</v>
      </c>
      <c r="Q189" t="s">
        <v>33</v>
      </c>
      <c r="R189" t="s">
        <v>26</v>
      </c>
    </row>
    <row r="190" spans="1:18" x14ac:dyDescent="0.25">
      <c r="A190">
        <v>189</v>
      </c>
      <c r="B190" s="2">
        <v>45721</v>
      </c>
      <c r="C190" t="s">
        <v>18</v>
      </c>
      <c r="D190" t="s">
        <v>40</v>
      </c>
      <c r="E190" t="s">
        <v>35</v>
      </c>
      <c r="F190" t="s">
        <v>21</v>
      </c>
      <c r="G190" t="s">
        <v>59</v>
      </c>
      <c r="H190" t="s">
        <v>31</v>
      </c>
      <c r="I190" t="s">
        <v>60</v>
      </c>
      <c r="J190">
        <v>3</v>
      </c>
      <c r="K190" s="3">
        <v>185000</v>
      </c>
      <c r="L190" s="3">
        <v>108000</v>
      </c>
      <c r="M190" s="3">
        <v>555000</v>
      </c>
      <c r="N190" s="3">
        <v>324000</v>
      </c>
      <c r="O190" s="3">
        <v>231000</v>
      </c>
      <c r="P190" s="4">
        <v>0.41621621621621618</v>
      </c>
      <c r="Q190" t="s">
        <v>33</v>
      </c>
      <c r="R190" t="s">
        <v>26</v>
      </c>
    </row>
    <row r="191" spans="1:18" x14ac:dyDescent="0.25">
      <c r="A191">
        <v>190</v>
      </c>
      <c r="B191" s="2">
        <v>46013</v>
      </c>
      <c r="C191" t="s">
        <v>27</v>
      </c>
      <c r="D191" t="s">
        <v>55</v>
      </c>
      <c r="E191" t="s">
        <v>51</v>
      </c>
      <c r="F191" t="s">
        <v>45</v>
      </c>
      <c r="G191" t="s">
        <v>52</v>
      </c>
      <c r="H191" t="s">
        <v>53</v>
      </c>
      <c r="I191" t="s">
        <v>54</v>
      </c>
      <c r="J191">
        <v>4</v>
      </c>
      <c r="K191" s="3">
        <v>520000</v>
      </c>
      <c r="L191" s="3">
        <v>365000</v>
      </c>
      <c r="M191" s="3">
        <v>2080000</v>
      </c>
      <c r="N191" s="3">
        <v>1460000</v>
      </c>
      <c r="O191" s="3">
        <v>620000</v>
      </c>
      <c r="P191" s="4">
        <v>0.29807692307692307</v>
      </c>
      <c r="Q191" t="s">
        <v>25</v>
      </c>
      <c r="R191" t="s">
        <v>26</v>
      </c>
    </row>
    <row r="192" spans="1:18" x14ac:dyDescent="0.25">
      <c r="A192">
        <v>191</v>
      </c>
      <c r="B192" s="2">
        <v>45616</v>
      </c>
      <c r="C192" t="s">
        <v>18</v>
      </c>
      <c r="D192" t="s">
        <v>28</v>
      </c>
      <c r="E192" t="s">
        <v>29</v>
      </c>
      <c r="F192" t="s">
        <v>45</v>
      </c>
      <c r="G192" t="s">
        <v>59</v>
      </c>
      <c r="H192" t="s">
        <v>31</v>
      </c>
      <c r="I192" t="s">
        <v>60</v>
      </c>
      <c r="J192">
        <v>1</v>
      </c>
      <c r="K192" s="3">
        <v>220000</v>
      </c>
      <c r="L192" s="3">
        <v>145000</v>
      </c>
      <c r="M192" s="3">
        <v>220000</v>
      </c>
      <c r="N192" s="3">
        <v>145000</v>
      </c>
      <c r="O192" s="3">
        <v>75000</v>
      </c>
      <c r="P192" s="4">
        <v>0.34090909090909088</v>
      </c>
      <c r="Q192" t="s">
        <v>39</v>
      </c>
      <c r="R192" t="s">
        <v>26</v>
      </c>
    </row>
    <row r="193" spans="1:18" x14ac:dyDescent="0.25">
      <c r="A193">
        <v>192</v>
      </c>
      <c r="B193" s="2">
        <v>45862</v>
      </c>
      <c r="C193" t="s">
        <v>27</v>
      </c>
      <c r="D193" t="s">
        <v>42</v>
      </c>
      <c r="E193" t="s">
        <v>29</v>
      </c>
      <c r="F193" t="s">
        <v>45</v>
      </c>
      <c r="G193" t="s">
        <v>30</v>
      </c>
      <c r="H193" t="s">
        <v>31</v>
      </c>
      <c r="I193" t="s">
        <v>32</v>
      </c>
      <c r="J193">
        <v>3</v>
      </c>
      <c r="K193" s="3">
        <v>780000</v>
      </c>
      <c r="L193" s="3">
        <v>590000</v>
      </c>
      <c r="M193" s="3">
        <v>2340000</v>
      </c>
      <c r="N193" s="3">
        <v>1770000</v>
      </c>
      <c r="O193" s="3">
        <v>570000</v>
      </c>
      <c r="P193" s="4">
        <v>0.24358974358974361</v>
      </c>
      <c r="Q193" t="s">
        <v>41</v>
      </c>
      <c r="R193" t="s">
        <v>26</v>
      </c>
    </row>
    <row r="194" spans="1:18" x14ac:dyDescent="0.25">
      <c r="A194">
        <v>193</v>
      </c>
      <c r="B194" s="2">
        <v>45979</v>
      </c>
      <c r="C194" t="s">
        <v>27</v>
      </c>
      <c r="D194" t="s">
        <v>34</v>
      </c>
      <c r="E194" t="s">
        <v>35</v>
      </c>
      <c r="F194" t="s">
        <v>21</v>
      </c>
      <c r="G194" t="s">
        <v>36</v>
      </c>
      <c r="H194" t="s">
        <v>37</v>
      </c>
      <c r="I194" t="s">
        <v>38</v>
      </c>
      <c r="J194">
        <v>4</v>
      </c>
      <c r="K194" s="3">
        <v>115000</v>
      </c>
      <c r="L194" s="3">
        <v>68000</v>
      </c>
      <c r="M194" s="3">
        <v>460000</v>
      </c>
      <c r="N194" s="3">
        <v>272000</v>
      </c>
      <c r="O194" s="3">
        <v>188000</v>
      </c>
      <c r="P194" s="4">
        <v>0.40869565217391313</v>
      </c>
      <c r="Q194" t="s">
        <v>33</v>
      </c>
      <c r="R194" t="s">
        <v>26</v>
      </c>
    </row>
    <row r="195" spans="1:18" x14ac:dyDescent="0.25">
      <c r="A195">
        <v>194</v>
      </c>
      <c r="B195" s="2">
        <v>45358</v>
      </c>
      <c r="C195" t="s">
        <v>18</v>
      </c>
      <c r="D195" t="s">
        <v>40</v>
      </c>
      <c r="E195" t="s">
        <v>35</v>
      </c>
      <c r="F195" t="s">
        <v>45</v>
      </c>
      <c r="G195" t="s">
        <v>22</v>
      </c>
      <c r="H195" t="s">
        <v>23</v>
      </c>
      <c r="I195" t="s">
        <v>24</v>
      </c>
      <c r="J195">
        <v>3</v>
      </c>
      <c r="K195" s="3">
        <v>185000</v>
      </c>
      <c r="L195" s="3">
        <v>108000</v>
      </c>
      <c r="M195" s="3">
        <v>555000</v>
      </c>
      <c r="N195" s="3">
        <v>324000</v>
      </c>
      <c r="O195" s="3">
        <v>231000</v>
      </c>
      <c r="P195" s="4">
        <v>0.41621621621621618</v>
      </c>
      <c r="Q195" t="s">
        <v>41</v>
      </c>
      <c r="R195" t="s">
        <v>26</v>
      </c>
    </row>
    <row r="196" spans="1:18" x14ac:dyDescent="0.25">
      <c r="A196">
        <v>195</v>
      </c>
      <c r="B196" s="2">
        <v>45932</v>
      </c>
      <c r="C196" t="s">
        <v>27</v>
      </c>
      <c r="D196" t="s">
        <v>55</v>
      </c>
      <c r="E196" t="s">
        <v>51</v>
      </c>
      <c r="F196" t="s">
        <v>45</v>
      </c>
      <c r="G196" t="s">
        <v>52</v>
      </c>
      <c r="H196" t="s">
        <v>53</v>
      </c>
      <c r="I196" t="s">
        <v>54</v>
      </c>
      <c r="J196">
        <v>4</v>
      </c>
      <c r="K196" s="3">
        <v>520000</v>
      </c>
      <c r="L196" s="3">
        <v>365000</v>
      </c>
      <c r="M196" s="3">
        <v>2080000</v>
      </c>
      <c r="N196" s="3">
        <v>1460000</v>
      </c>
      <c r="O196" s="3">
        <v>620000</v>
      </c>
      <c r="P196" s="4">
        <v>0.29807692307692307</v>
      </c>
      <c r="Q196" t="s">
        <v>33</v>
      </c>
      <c r="R196" t="s">
        <v>26</v>
      </c>
    </row>
    <row r="197" spans="1:18" x14ac:dyDescent="0.25">
      <c r="A197">
        <v>196</v>
      </c>
      <c r="B197" s="2">
        <v>45896</v>
      </c>
      <c r="C197" t="s">
        <v>27</v>
      </c>
      <c r="D197" t="s">
        <v>49</v>
      </c>
      <c r="E197" t="s">
        <v>20</v>
      </c>
      <c r="F197" t="s">
        <v>21</v>
      </c>
      <c r="G197" t="s">
        <v>56</v>
      </c>
      <c r="H197" t="s">
        <v>57</v>
      </c>
      <c r="I197" t="s">
        <v>58</v>
      </c>
      <c r="J197">
        <v>1</v>
      </c>
      <c r="K197" s="3">
        <v>45000</v>
      </c>
      <c r="L197" s="3">
        <v>21000</v>
      </c>
      <c r="M197" s="3">
        <v>45000</v>
      </c>
      <c r="N197" s="3">
        <v>21000</v>
      </c>
      <c r="O197" s="3">
        <v>24000</v>
      </c>
      <c r="P197" s="4">
        <v>0.53333333333333333</v>
      </c>
      <c r="Q197" t="s">
        <v>33</v>
      </c>
      <c r="R197" t="s">
        <v>26</v>
      </c>
    </row>
    <row r="198" spans="1:18" x14ac:dyDescent="0.25">
      <c r="A198">
        <v>197</v>
      </c>
      <c r="B198" s="2">
        <v>45721</v>
      </c>
      <c r="C198" t="s">
        <v>27</v>
      </c>
      <c r="D198" t="s">
        <v>34</v>
      </c>
      <c r="E198" t="s">
        <v>35</v>
      </c>
      <c r="F198" t="s">
        <v>45</v>
      </c>
      <c r="G198" t="s">
        <v>22</v>
      </c>
      <c r="H198" t="s">
        <v>23</v>
      </c>
      <c r="I198" t="s">
        <v>24</v>
      </c>
      <c r="J198">
        <v>3</v>
      </c>
      <c r="K198" s="3">
        <v>115000</v>
      </c>
      <c r="L198" s="3">
        <v>68000</v>
      </c>
      <c r="M198" s="3">
        <v>345000</v>
      </c>
      <c r="N198" s="3">
        <v>204000</v>
      </c>
      <c r="O198" s="3">
        <v>141000</v>
      </c>
      <c r="P198" s="4">
        <v>0.40869565217391313</v>
      </c>
      <c r="Q198" t="s">
        <v>33</v>
      </c>
      <c r="R198" t="s">
        <v>26</v>
      </c>
    </row>
    <row r="199" spans="1:18" x14ac:dyDescent="0.25">
      <c r="A199">
        <v>198</v>
      </c>
      <c r="B199" s="2">
        <v>45894</v>
      </c>
      <c r="C199" t="s">
        <v>27</v>
      </c>
      <c r="D199" t="s">
        <v>19</v>
      </c>
      <c r="E199" t="s">
        <v>20</v>
      </c>
      <c r="F199" t="s">
        <v>21</v>
      </c>
      <c r="G199" t="s">
        <v>56</v>
      </c>
      <c r="H199" t="s">
        <v>57</v>
      </c>
      <c r="I199" t="s">
        <v>58</v>
      </c>
      <c r="J199">
        <v>3</v>
      </c>
      <c r="K199" s="3">
        <v>24000</v>
      </c>
      <c r="L199" s="3">
        <v>9500</v>
      </c>
      <c r="M199" s="3">
        <v>72000</v>
      </c>
      <c r="N199" s="3">
        <v>28500</v>
      </c>
      <c r="O199" s="3">
        <v>43500</v>
      </c>
      <c r="P199" s="4">
        <v>0.60416666666666663</v>
      </c>
      <c r="Q199" t="s">
        <v>39</v>
      </c>
      <c r="R199" t="s">
        <v>26</v>
      </c>
    </row>
    <row r="200" spans="1:18" x14ac:dyDescent="0.25">
      <c r="A200">
        <v>199</v>
      </c>
      <c r="B200" s="2">
        <v>45308</v>
      </c>
      <c r="C200" t="s">
        <v>18</v>
      </c>
      <c r="D200" t="s">
        <v>28</v>
      </c>
      <c r="E200" t="s">
        <v>29</v>
      </c>
      <c r="F200" t="s">
        <v>45</v>
      </c>
      <c r="G200" t="s">
        <v>36</v>
      </c>
      <c r="H200" t="s">
        <v>37</v>
      </c>
      <c r="I200" t="s">
        <v>38</v>
      </c>
      <c r="J200">
        <v>3</v>
      </c>
      <c r="K200" s="3">
        <v>220000</v>
      </c>
      <c r="L200" s="3">
        <v>145000</v>
      </c>
      <c r="M200" s="3">
        <v>660000</v>
      </c>
      <c r="N200" s="3">
        <v>435000</v>
      </c>
      <c r="O200" s="3">
        <v>225000</v>
      </c>
      <c r="P200" s="4">
        <v>0.34090909090909088</v>
      </c>
      <c r="Q200" t="s">
        <v>25</v>
      </c>
      <c r="R200" t="s">
        <v>26</v>
      </c>
    </row>
    <row r="201" spans="1:18" x14ac:dyDescent="0.25">
      <c r="A201">
        <v>200</v>
      </c>
      <c r="B201" s="2">
        <v>45696</v>
      </c>
      <c r="C201" t="s">
        <v>27</v>
      </c>
      <c r="D201" t="s">
        <v>40</v>
      </c>
      <c r="E201" t="s">
        <v>35</v>
      </c>
      <c r="F201" t="s">
        <v>21</v>
      </c>
      <c r="G201" t="s">
        <v>22</v>
      </c>
      <c r="H201" t="s">
        <v>23</v>
      </c>
      <c r="I201" t="s">
        <v>24</v>
      </c>
      <c r="J201">
        <v>3</v>
      </c>
      <c r="K201" s="3">
        <v>185000</v>
      </c>
      <c r="L201" s="3">
        <v>108000</v>
      </c>
      <c r="M201" s="3">
        <v>555000</v>
      </c>
      <c r="N201" s="3">
        <v>324000</v>
      </c>
      <c r="O201" s="3">
        <v>231000</v>
      </c>
      <c r="P201" s="4">
        <v>0.41621621621621618</v>
      </c>
      <c r="Q201" t="s">
        <v>25</v>
      </c>
      <c r="R201" t="s">
        <v>26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201"/>
  <sheetViews>
    <sheetView showGridLines="0" workbookViewId="0">
      <pane ySplit="1" topLeftCell="A85" activePane="bottomLeft" state="frozen"/>
      <selection pane="bottomLeft" activeCell="J206" sqref="J206"/>
    </sheetView>
  </sheetViews>
  <sheetFormatPr baseColWidth="10" defaultColWidth="9.140625" defaultRowHeight="15" x14ac:dyDescent="0.25"/>
  <cols>
    <col min="2" max="2" width="10.85546875" bestFit="1" customWidth="1"/>
    <col min="18" max="18" width="11.7109375" bestFit="1" customWidth="1"/>
    <col min="19" max="19" width="6.85546875" bestFit="1" customWidth="1"/>
    <col min="20" max="20" width="7.140625" bestFit="1" customWidth="1"/>
    <col min="21" max="21" width="11.42578125" bestFit="1" customWidth="1"/>
    <col min="23" max="23" width="40" customWidth="1"/>
  </cols>
  <sheetData>
    <row r="1" spans="1:2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t="s">
        <v>97</v>
      </c>
      <c r="T1" t="s">
        <v>98</v>
      </c>
      <c r="U1" t="s">
        <v>99</v>
      </c>
      <c r="W1" s="17" t="s">
        <v>63</v>
      </c>
    </row>
    <row r="2" spans="1:23" x14ac:dyDescent="0.25">
      <c r="A2" s="7">
        <v>1</v>
      </c>
      <c r="B2" s="8">
        <v>45511</v>
      </c>
      <c r="C2" s="7" t="s">
        <v>18</v>
      </c>
      <c r="D2" s="7" t="s">
        <v>19</v>
      </c>
      <c r="E2" s="7" t="s">
        <v>20</v>
      </c>
      <c r="F2" s="7" t="s">
        <v>21</v>
      </c>
      <c r="G2" s="7" t="s">
        <v>22</v>
      </c>
      <c r="H2" s="7" t="s">
        <v>23</v>
      </c>
      <c r="I2" s="7" t="s">
        <v>24</v>
      </c>
      <c r="J2" s="7">
        <v>1</v>
      </c>
      <c r="K2" s="9">
        <v>24000</v>
      </c>
      <c r="L2" s="9">
        <v>9500</v>
      </c>
      <c r="M2" s="9">
        <v>24000</v>
      </c>
      <c r="N2" s="9">
        <v>9500</v>
      </c>
      <c r="O2" s="9">
        <v>14500</v>
      </c>
      <c r="P2" s="10">
        <v>0.60416666666666663</v>
      </c>
      <c r="Q2" s="7" t="s">
        <v>25</v>
      </c>
      <c r="R2" s="7" t="s">
        <v>26</v>
      </c>
      <c r="S2" s="12">
        <f t="shared" ref="S2:S65" si="0">YEAR(B2)</f>
        <v>2024</v>
      </c>
      <c r="T2" s="12" t="str">
        <f t="shared" ref="T2:T65" si="1">TEXT(B2,"mmm")</f>
        <v>ago</v>
      </c>
      <c r="U2" s="14">
        <f t="shared" ref="U2:U65" si="2">DATE(YEAR(B2),MONTH(B2),1)</f>
        <v>45505</v>
      </c>
      <c r="W2" t="s">
        <v>64</v>
      </c>
    </row>
    <row r="3" spans="1:23" x14ac:dyDescent="0.25">
      <c r="A3" s="7">
        <v>2</v>
      </c>
      <c r="B3" s="8">
        <v>45870</v>
      </c>
      <c r="C3" s="7" t="s">
        <v>27</v>
      </c>
      <c r="D3" s="7" t="s">
        <v>28</v>
      </c>
      <c r="E3" s="7" t="s">
        <v>29</v>
      </c>
      <c r="F3" s="7" t="s">
        <v>21</v>
      </c>
      <c r="G3" s="7" t="s">
        <v>30</v>
      </c>
      <c r="H3" s="7" t="s">
        <v>31</v>
      </c>
      <c r="I3" s="7" t="s">
        <v>32</v>
      </c>
      <c r="J3" s="7">
        <v>3</v>
      </c>
      <c r="K3" s="9">
        <v>220000</v>
      </c>
      <c r="L3" s="9">
        <v>145000</v>
      </c>
      <c r="M3" s="9">
        <v>660000</v>
      </c>
      <c r="N3" s="9">
        <v>435000</v>
      </c>
      <c r="O3" s="9">
        <v>225000</v>
      </c>
      <c r="P3" s="10">
        <v>0.34090909090909088</v>
      </c>
      <c r="Q3" s="7" t="s">
        <v>33</v>
      </c>
      <c r="R3" s="7" t="s">
        <v>26</v>
      </c>
      <c r="S3" s="7">
        <f t="shared" si="0"/>
        <v>2025</v>
      </c>
      <c r="T3" s="7" t="str">
        <f t="shared" si="1"/>
        <v>ago</v>
      </c>
      <c r="U3" s="15">
        <f t="shared" si="2"/>
        <v>45870</v>
      </c>
      <c r="W3" t="s">
        <v>65</v>
      </c>
    </row>
    <row r="4" spans="1:23" x14ac:dyDescent="0.25">
      <c r="A4" s="7">
        <v>3</v>
      </c>
      <c r="B4" s="8">
        <v>45477</v>
      </c>
      <c r="C4" s="7" t="s">
        <v>18</v>
      </c>
      <c r="D4" s="7" t="s">
        <v>34</v>
      </c>
      <c r="E4" s="7" t="s">
        <v>35</v>
      </c>
      <c r="F4" s="7" t="s">
        <v>21</v>
      </c>
      <c r="G4" s="7" t="s">
        <v>36</v>
      </c>
      <c r="H4" s="7" t="s">
        <v>37</v>
      </c>
      <c r="I4" s="7" t="s">
        <v>38</v>
      </c>
      <c r="J4" s="7">
        <v>3</v>
      </c>
      <c r="K4" s="9">
        <v>115000</v>
      </c>
      <c r="L4" s="9">
        <v>68000</v>
      </c>
      <c r="M4" s="9">
        <v>345000</v>
      </c>
      <c r="N4" s="9">
        <v>204000</v>
      </c>
      <c r="O4" s="9">
        <v>141000</v>
      </c>
      <c r="P4" s="10">
        <v>0.40869565217391313</v>
      </c>
      <c r="Q4" s="7" t="s">
        <v>39</v>
      </c>
      <c r="R4" s="7" t="s">
        <v>26</v>
      </c>
      <c r="S4" s="7">
        <f t="shared" si="0"/>
        <v>2024</v>
      </c>
      <c r="T4" s="7" t="str">
        <f t="shared" si="1"/>
        <v>jul</v>
      </c>
      <c r="U4" s="15">
        <f t="shared" si="2"/>
        <v>45474</v>
      </c>
      <c r="W4" t="s">
        <v>66</v>
      </c>
    </row>
    <row r="5" spans="1:23" x14ac:dyDescent="0.25">
      <c r="A5" s="7">
        <v>4</v>
      </c>
      <c r="B5" s="8">
        <v>45716</v>
      </c>
      <c r="C5" s="7" t="s">
        <v>27</v>
      </c>
      <c r="D5" s="7" t="s">
        <v>40</v>
      </c>
      <c r="E5" s="7" t="s">
        <v>35</v>
      </c>
      <c r="F5" s="7" t="s">
        <v>21</v>
      </c>
      <c r="G5" s="7" t="s">
        <v>36</v>
      </c>
      <c r="H5" s="7" t="s">
        <v>37</v>
      </c>
      <c r="I5" s="7" t="s">
        <v>38</v>
      </c>
      <c r="J5" s="7">
        <v>3</v>
      </c>
      <c r="K5" s="9">
        <v>185000</v>
      </c>
      <c r="L5" s="9">
        <v>108000</v>
      </c>
      <c r="M5" s="9">
        <v>555000</v>
      </c>
      <c r="N5" s="9">
        <v>324000</v>
      </c>
      <c r="O5" s="9">
        <v>231000</v>
      </c>
      <c r="P5" s="10">
        <v>0.41621621621621618</v>
      </c>
      <c r="Q5" s="7" t="s">
        <v>41</v>
      </c>
      <c r="R5" s="7" t="s">
        <v>26</v>
      </c>
      <c r="S5" s="7">
        <f t="shared" si="0"/>
        <v>2025</v>
      </c>
      <c r="T5" s="7" t="str">
        <f t="shared" si="1"/>
        <v>feb</v>
      </c>
      <c r="U5" s="15">
        <f t="shared" si="2"/>
        <v>45689</v>
      </c>
    </row>
    <row r="6" spans="1:23" x14ac:dyDescent="0.25">
      <c r="A6" s="7">
        <v>5</v>
      </c>
      <c r="B6" s="8">
        <v>45705</v>
      </c>
      <c r="C6" s="7" t="s">
        <v>27</v>
      </c>
      <c r="D6" s="7" t="s">
        <v>42</v>
      </c>
      <c r="E6" s="7" t="s">
        <v>29</v>
      </c>
      <c r="F6" s="7" t="s">
        <v>21</v>
      </c>
      <c r="G6" s="7" t="s">
        <v>43</v>
      </c>
      <c r="H6" s="7" t="s">
        <v>37</v>
      </c>
      <c r="I6" s="7" t="s">
        <v>44</v>
      </c>
      <c r="J6" s="7">
        <v>1</v>
      </c>
      <c r="K6" s="9">
        <v>780000</v>
      </c>
      <c r="L6" s="9">
        <v>590000</v>
      </c>
      <c r="M6" s="9">
        <v>780000</v>
      </c>
      <c r="N6" s="9">
        <v>590000</v>
      </c>
      <c r="O6" s="9">
        <v>190000</v>
      </c>
      <c r="P6" s="10">
        <v>0.24358974358974361</v>
      </c>
      <c r="Q6" s="7" t="s">
        <v>33</v>
      </c>
      <c r="R6" s="7" t="s">
        <v>26</v>
      </c>
      <c r="S6" s="7">
        <f t="shared" si="0"/>
        <v>2025</v>
      </c>
      <c r="T6" s="7" t="str">
        <f t="shared" si="1"/>
        <v>feb</v>
      </c>
      <c r="U6" s="15">
        <f t="shared" si="2"/>
        <v>45689</v>
      </c>
    </row>
    <row r="7" spans="1:23" x14ac:dyDescent="0.25">
      <c r="A7" s="7">
        <v>6</v>
      </c>
      <c r="B7" s="8">
        <v>45726</v>
      </c>
      <c r="C7" s="7" t="s">
        <v>18</v>
      </c>
      <c r="D7" s="7" t="s">
        <v>42</v>
      </c>
      <c r="E7" s="7" t="s">
        <v>29</v>
      </c>
      <c r="F7" s="7" t="s">
        <v>45</v>
      </c>
      <c r="G7" s="7" t="s">
        <v>46</v>
      </c>
      <c r="H7" s="7" t="s">
        <v>47</v>
      </c>
      <c r="I7" s="7" t="s">
        <v>48</v>
      </c>
      <c r="J7" s="7">
        <v>2</v>
      </c>
      <c r="K7" s="9">
        <v>780000</v>
      </c>
      <c r="L7" s="9">
        <v>590000</v>
      </c>
      <c r="M7" s="9">
        <v>1560000</v>
      </c>
      <c r="N7" s="9">
        <v>1180000</v>
      </c>
      <c r="O7" s="9">
        <v>380000</v>
      </c>
      <c r="P7" s="10">
        <v>0.24358974358974361</v>
      </c>
      <c r="Q7" s="7" t="s">
        <v>41</v>
      </c>
      <c r="R7" s="7" t="s">
        <v>26</v>
      </c>
      <c r="S7" s="7">
        <f t="shared" si="0"/>
        <v>2025</v>
      </c>
      <c r="T7" s="7" t="str">
        <f t="shared" si="1"/>
        <v>mar</v>
      </c>
      <c r="U7" s="15">
        <f t="shared" si="2"/>
        <v>45717</v>
      </c>
    </row>
    <row r="8" spans="1:23" x14ac:dyDescent="0.25">
      <c r="A8" s="7">
        <v>7</v>
      </c>
      <c r="B8" s="8">
        <v>45798</v>
      </c>
      <c r="C8" s="7" t="s">
        <v>27</v>
      </c>
      <c r="D8" s="7" t="s">
        <v>49</v>
      </c>
      <c r="E8" s="7" t="s">
        <v>20</v>
      </c>
      <c r="F8" s="7" t="s">
        <v>21</v>
      </c>
      <c r="G8" s="7" t="s">
        <v>22</v>
      </c>
      <c r="H8" s="7" t="s">
        <v>23</v>
      </c>
      <c r="I8" s="7" t="s">
        <v>24</v>
      </c>
      <c r="J8" s="7">
        <v>1</v>
      </c>
      <c r="K8" s="9">
        <v>45000</v>
      </c>
      <c r="L8" s="9">
        <v>21000</v>
      </c>
      <c r="M8" s="9">
        <v>45000</v>
      </c>
      <c r="N8" s="9">
        <v>21000</v>
      </c>
      <c r="O8" s="9">
        <v>24000</v>
      </c>
      <c r="P8" s="10">
        <v>0.53333333333333333</v>
      </c>
      <c r="Q8" s="7" t="s">
        <v>41</v>
      </c>
      <c r="R8" s="7" t="s">
        <v>26</v>
      </c>
      <c r="S8" s="7">
        <f t="shared" si="0"/>
        <v>2025</v>
      </c>
      <c r="T8" s="7" t="str">
        <f t="shared" si="1"/>
        <v>may</v>
      </c>
      <c r="U8" s="15">
        <f t="shared" si="2"/>
        <v>45778</v>
      </c>
    </row>
    <row r="9" spans="1:23" x14ac:dyDescent="0.25">
      <c r="A9" s="7">
        <v>8</v>
      </c>
      <c r="B9" s="8">
        <v>45310</v>
      </c>
      <c r="C9" s="7" t="s">
        <v>27</v>
      </c>
      <c r="D9" s="7" t="s">
        <v>19</v>
      </c>
      <c r="E9" s="7" t="s">
        <v>20</v>
      </c>
      <c r="F9" s="7" t="s">
        <v>45</v>
      </c>
      <c r="G9" s="7" t="s">
        <v>46</v>
      </c>
      <c r="H9" s="7" t="s">
        <v>47</v>
      </c>
      <c r="I9" s="7" t="s">
        <v>48</v>
      </c>
      <c r="J9" s="7">
        <v>4</v>
      </c>
      <c r="K9" s="9">
        <v>24000</v>
      </c>
      <c r="L9" s="9">
        <v>9500</v>
      </c>
      <c r="M9" s="9">
        <v>96000</v>
      </c>
      <c r="N9" s="9">
        <v>38000</v>
      </c>
      <c r="O9" s="9">
        <v>58000</v>
      </c>
      <c r="P9" s="10">
        <v>0.60416666666666663</v>
      </c>
      <c r="Q9" s="7" t="s">
        <v>25</v>
      </c>
      <c r="R9" s="7" t="s">
        <v>26</v>
      </c>
      <c r="S9" s="7">
        <f t="shared" si="0"/>
        <v>2024</v>
      </c>
      <c r="T9" s="7" t="str">
        <f t="shared" si="1"/>
        <v>ene</v>
      </c>
      <c r="U9" s="15">
        <f t="shared" si="2"/>
        <v>45292</v>
      </c>
    </row>
    <row r="10" spans="1:23" x14ac:dyDescent="0.25">
      <c r="A10" s="7">
        <v>9</v>
      </c>
      <c r="B10" s="8">
        <v>45419</v>
      </c>
      <c r="C10" s="7" t="s">
        <v>27</v>
      </c>
      <c r="D10" s="7" t="s">
        <v>42</v>
      </c>
      <c r="E10" s="7" t="s">
        <v>29</v>
      </c>
      <c r="F10" s="7" t="s">
        <v>21</v>
      </c>
      <c r="G10" s="7" t="s">
        <v>43</v>
      </c>
      <c r="H10" s="7" t="s">
        <v>37</v>
      </c>
      <c r="I10" s="7" t="s">
        <v>44</v>
      </c>
      <c r="J10" s="7">
        <v>2</v>
      </c>
      <c r="K10" s="9">
        <v>780000</v>
      </c>
      <c r="L10" s="9">
        <v>590000</v>
      </c>
      <c r="M10" s="9">
        <v>1560000</v>
      </c>
      <c r="N10" s="9">
        <v>1180000</v>
      </c>
      <c r="O10" s="9">
        <v>380000</v>
      </c>
      <c r="P10" s="10">
        <v>0.24358974358974361</v>
      </c>
      <c r="Q10" s="7" t="s">
        <v>33</v>
      </c>
      <c r="R10" s="7" t="s">
        <v>26</v>
      </c>
      <c r="S10" s="7">
        <f t="shared" si="0"/>
        <v>2024</v>
      </c>
      <c r="T10" s="7" t="str">
        <f t="shared" si="1"/>
        <v>may</v>
      </c>
      <c r="U10" s="15">
        <f t="shared" si="2"/>
        <v>45413</v>
      </c>
    </row>
    <row r="11" spans="1:23" x14ac:dyDescent="0.25">
      <c r="A11" s="7">
        <v>10</v>
      </c>
      <c r="B11" s="8">
        <v>45674</v>
      </c>
      <c r="C11" s="7" t="s">
        <v>27</v>
      </c>
      <c r="D11" s="7" t="s">
        <v>50</v>
      </c>
      <c r="E11" s="7" t="s">
        <v>51</v>
      </c>
      <c r="F11" s="7" t="s">
        <v>45</v>
      </c>
      <c r="G11" s="7" t="s">
        <v>52</v>
      </c>
      <c r="H11" s="7" t="s">
        <v>53</v>
      </c>
      <c r="I11" s="7" t="s">
        <v>54</v>
      </c>
      <c r="J11" s="7">
        <v>2</v>
      </c>
      <c r="K11" s="9">
        <v>310000</v>
      </c>
      <c r="L11" s="9">
        <v>210000</v>
      </c>
      <c r="M11" s="9">
        <v>620000</v>
      </c>
      <c r="N11" s="9">
        <v>420000</v>
      </c>
      <c r="O11" s="9">
        <v>200000</v>
      </c>
      <c r="P11" s="10">
        <v>0.32258064516129031</v>
      </c>
      <c r="Q11" s="7" t="s">
        <v>25</v>
      </c>
      <c r="R11" s="7" t="s">
        <v>26</v>
      </c>
      <c r="S11" s="7">
        <f t="shared" si="0"/>
        <v>2025</v>
      </c>
      <c r="T11" s="7" t="str">
        <f t="shared" si="1"/>
        <v>ene</v>
      </c>
      <c r="U11" s="15">
        <f t="shared" si="2"/>
        <v>45658</v>
      </c>
    </row>
    <row r="12" spans="1:23" x14ac:dyDescent="0.25">
      <c r="A12" s="7">
        <v>11</v>
      </c>
      <c r="B12" s="8">
        <v>45798</v>
      </c>
      <c r="C12" s="7" t="s">
        <v>18</v>
      </c>
      <c r="D12" s="7" t="s">
        <v>55</v>
      </c>
      <c r="E12" s="7" t="s">
        <v>51</v>
      </c>
      <c r="F12" s="7" t="s">
        <v>45</v>
      </c>
      <c r="G12" s="7" t="s">
        <v>46</v>
      </c>
      <c r="H12" s="7" t="s">
        <v>47</v>
      </c>
      <c r="I12" s="7" t="s">
        <v>48</v>
      </c>
      <c r="J12" s="7">
        <v>3</v>
      </c>
      <c r="K12" s="9">
        <v>520000</v>
      </c>
      <c r="L12" s="9">
        <v>365000</v>
      </c>
      <c r="M12" s="9">
        <v>1560000</v>
      </c>
      <c r="N12" s="9">
        <v>1095000</v>
      </c>
      <c r="O12" s="9">
        <v>465000</v>
      </c>
      <c r="P12" s="10">
        <v>0.29807692307692307</v>
      </c>
      <c r="Q12" s="7" t="s">
        <v>41</v>
      </c>
      <c r="R12" s="7" t="s">
        <v>26</v>
      </c>
      <c r="S12" s="7">
        <f t="shared" si="0"/>
        <v>2025</v>
      </c>
      <c r="T12" s="7" t="str">
        <f t="shared" si="1"/>
        <v>may</v>
      </c>
      <c r="U12" s="15">
        <f t="shared" si="2"/>
        <v>45778</v>
      </c>
    </row>
    <row r="13" spans="1:23" x14ac:dyDescent="0.25">
      <c r="A13" s="7">
        <v>12</v>
      </c>
      <c r="B13" s="8">
        <v>45655</v>
      </c>
      <c r="C13" s="7" t="s">
        <v>18</v>
      </c>
      <c r="D13" s="7" t="s">
        <v>49</v>
      </c>
      <c r="E13" s="7" t="s">
        <v>20</v>
      </c>
      <c r="F13" s="7" t="s">
        <v>45</v>
      </c>
      <c r="G13" s="7" t="s">
        <v>43</v>
      </c>
      <c r="H13" s="7" t="s">
        <v>37</v>
      </c>
      <c r="I13" s="7" t="s">
        <v>44</v>
      </c>
      <c r="J13" s="7">
        <v>4</v>
      </c>
      <c r="K13" s="9">
        <v>45000</v>
      </c>
      <c r="L13" s="9">
        <v>21000</v>
      </c>
      <c r="M13" s="9">
        <v>180000</v>
      </c>
      <c r="N13" s="9">
        <v>84000</v>
      </c>
      <c r="O13" s="9">
        <v>96000</v>
      </c>
      <c r="P13" s="10">
        <v>0.53333333333333333</v>
      </c>
      <c r="Q13" s="7" t="s">
        <v>25</v>
      </c>
      <c r="R13" s="7" t="s">
        <v>26</v>
      </c>
      <c r="S13" s="7">
        <f t="shared" si="0"/>
        <v>2024</v>
      </c>
      <c r="T13" s="7" t="str">
        <f t="shared" si="1"/>
        <v>dic</v>
      </c>
      <c r="U13" s="15">
        <f t="shared" si="2"/>
        <v>45627</v>
      </c>
    </row>
    <row r="14" spans="1:23" x14ac:dyDescent="0.25">
      <c r="A14" s="7">
        <v>13</v>
      </c>
      <c r="B14" s="8">
        <v>45877</v>
      </c>
      <c r="C14" s="7" t="s">
        <v>27</v>
      </c>
      <c r="D14" s="7" t="s">
        <v>28</v>
      </c>
      <c r="E14" s="7" t="s">
        <v>29</v>
      </c>
      <c r="F14" s="7" t="s">
        <v>45</v>
      </c>
      <c r="G14" s="7" t="s">
        <v>56</v>
      </c>
      <c r="H14" s="7" t="s">
        <v>57</v>
      </c>
      <c r="I14" s="7" t="s">
        <v>58</v>
      </c>
      <c r="J14" s="7">
        <v>2</v>
      </c>
      <c r="K14" s="9">
        <v>220000</v>
      </c>
      <c r="L14" s="9">
        <v>145000</v>
      </c>
      <c r="M14" s="9">
        <v>440000</v>
      </c>
      <c r="N14" s="9">
        <v>290000</v>
      </c>
      <c r="O14" s="9">
        <v>150000</v>
      </c>
      <c r="P14" s="10">
        <v>0.34090909090909088</v>
      </c>
      <c r="Q14" s="7" t="s">
        <v>39</v>
      </c>
      <c r="R14" s="7" t="s">
        <v>26</v>
      </c>
      <c r="S14" s="7">
        <f t="shared" si="0"/>
        <v>2025</v>
      </c>
      <c r="T14" s="7" t="str">
        <f t="shared" si="1"/>
        <v>ago</v>
      </c>
      <c r="U14" s="15">
        <f t="shared" si="2"/>
        <v>45870</v>
      </c>
    </row>
    <row r="15" spans="1:23" x14ac:dyDescent="0.25">
      <c r="A15" s="7">
        <v>14</v>
      </c>
      <c r="B15" s="8">
        <v>45355</v>
      </c>
      <c r="C15" s="7" t="s">
        <v>27</v>
      </c>
      <c r="D15" s="7" t="s">
        <v>55</v>
      </c>
      <c r="E15" s="7" t="s">
        <v>51</v>
      </c>
      <c r="F15" s="7" t="s">
        <v>45</v>
      </c>
      <c r="G15" s="7" t="s">
        <v>59</v>
      </c>
      <c r="H15" s="7" t="s">
        <v>31</v>
      </c>
      <c r="I15" s="7" t="s">
        <v>60</v>
      </c>
      <c r="J15" s="7">
        <v>1</v>
      </c>
      <c r="K15" s="9">
        <v>520000</v>
      </c>
      <c r="L15" s="9">
        <v>365000</v>
      </c>
      <c r="M15" s="9">
        <v>520000</v>
      </c>
      <c r="N15" s="9">
        <v>365000</v>
      </c>
      <c r="O15" s="9">
        <v>155000</v>
      </c>
      <c r="P15" s="10">
        <v>0.29807692307692307</v>
      </c>
      <c r="Q15" s="7" t="s">
        <v>33</v>
      </c>
      <c r="R15" s="7" t="s">
        <v>26</v>
      </c>
      <c r="S15" s="7">
        <f t="shared" si="0"/>
        <v>2024</v>
      </c>
      <c r="T15" s="7" t="str">
        <f t="shared" si="1"/>
        <v>mar</v>
      </c>
      <c r="U15" s="15">
        <f t="shared" si="2"/>
        <v>45352</v>
      </c>
    </row>
    <row r="16" spans="1:23" x14ac:dyDescent="0.25">
      <c r="A16" s="7">
        <v>15</v>
      </c>
      <c r="B16" s="8">
        <v>45372</v>
      </c>
      <c r="C16" s="7" t="s">
        <v>18</v>
      </c>
      <c r="D16" s="7" t="s">
        <v>40</v>
      </c>
      <c r="E16" s="7" t="s">
        <v>35</v>
      </c>
      <c r="F16" s="7" t="s">
        <v>21</v>
      </c>
      <c r="G16" s="7" t="s">
        <v>43</v>
      </c>
      <c r="H16" s="7" t="s">
        <v>37</v>
      </c>
      <c r="I16" s="7" t="s">
        <v>44</v>
      </c>
      <c r="J16" s="7">
        <v>3</v>
      </c>
      <c r="K16" s="9">
        <v>185000</v>
      </c>
      <c r="L16" s="9">
        <v>108000</v>
      </c>
      <c r="M16" s="9">
        <v>555000</v>
      </c>
      <c r="N16" s="9">
        <v>324000</v>
      </c>
      <c r="O16" s="9">
        <v>231000</v>
      </c>
      <c r="P16" s="10">
        <v>0.41621621621621618</v>
      </c>
      <c r="Q16" s="7" t="s">
        <v>25</v>
      </c>
      <c r="R16" s="7" t="s">
        <v>26</v>
      </c>
      <c r="S16" s="7">
        <f t="shared" si="0"/>
        <v>2024</v>
      </c>
      <c r="T16" s="7" t="str">
        <f t="shared" si="1"/>
        <v>mar</v>
      </c>
      <c r="U16" s="15">
        <f t="shared" si="2"/>
        <v>45352</v>
      </c>
    </row>
    <row r="17" spans="1:21" x14ac:dyDescent="0.25">
      <c r="A17" s="7">
        <v>16</v>
      </c>
      <c r="B17" s="8">
        <v>45387</v>
      </c>
      <c r="C17" s="7" t="s">
        <v>27</v>
      </c>
      <c r="D17" s="7" t="s">
        <v>61</v>
      </c>
      <c r="E17" s="7" t="s">
        <v>29</v>
      </c>
      <c r="F17" s="7" t="s">
        <v>21</v>
      </c>
      <c r="G17" s="7" t="s">
        <v>43</v>
      </c>
      <c r="H17" s="7" t="s">
        <v>37</v>
      </c>
      <c r="I17" s="7" t="s">
        <v>44</v>
      </c>
      <c r="J17" s="7">
        <v>3</v>
      </c>
      <c r="K17" s="9">
        <v>390000</v>
      </c>
      <c r="L17" s="9">
        <v>270000</v>
      </c>
      <c r="M17" s="9">
        <v>1170000</v>
      </c>
      <c r="N17" s="9">
        <v>810000</v>
      </c>
      <c r="O17" s="9">
        <v>360000</v>
      </c>
      <c r="P17" s="10">
        <v>0.30769230769230771</v>
      </c>
      <c r="Q17" s="7" t="s">
        <v>39</v>
      </c>
      <c r="R17" s="7" t="s">
        <v>26</v>
      </c>
      <c r="S17" s="7">
        <f t="shared" si="0"/>
        <v>2024</v>
      </c>
      <c r="T17" s="7" t="str">
        <f t="shared" si="1"/>
        <v>abr</v>
      </c>
      <c r="U17" s="15">
        <f t="shared" si="2"/>
        <v>45383</v>
      </c>
    </row>
    <row r="18" spans="1:21" x14ac:dyDescent="0.25">
      <c r="A18" s="7">
        <v>17</v>
      </c>
      <c r="B18" s="8">
        <v>45626</v>
      </c>
      <c r="C18" s="7" t="s">
        <v>27</v>
      </c>
      <c r="D18" s="7" t="s">
        <v>42</v>
      </c>
      <c r="E18" s="7" t="s">
        <v>29</v>
      </c>
      <c r="F18" s="7" t="s">
        <v>45</v>
      </c>
      <c r="G18" s="7" t="s">
        <v>59</v>
      </c>
      <c r="H18" s="7" t="s">
        <v>31</v>
      </c>
      <c r="I18" s="7" t="s">
        <v>60</v>
      </c>
      <c r="J18" s="7">
        <v>1</v>
      </c>
      <c r="K18" s="9">
        <v>780000</v>
      </c>
      <c r="L18" s="9">
        <v>590000</v>
      </c>
      <c r="M18" s="9">
        <v>780000</v>
      </c>
      <c r="N18" s="9">
        <v>590000</v>
      </c>
      <c r="O18" s="9">
        <v>190000</v>
      </c>
      <c r="P18" s="10">
        <v>0.24358974358974361</v>
      </c>
      <c r="Q18" s="7" t="s">
        <v>39</v>
      </c>
      <c r="R18" s="7" t="s">
        <v>26</v>
      </c>
      <c r="S18" s="7">
        <f t="shared" si="0"/>
        <v>2024</v>
      </c>
      <c r="T18" s="7" t="str">
        <f t="shared" si="1"/>
        <v>nov</v>
      </c>
      <c r="U18" s="15">
        <f t="shared" si="2"/>
        <v>45597</v>
      </c>
    </row>
    <row r="19" spans="1:21" x14ac:dyDescent="0.25">
      <c r="A19" s="7">
        <v>18</v>
      </c>
      <c r="B19" s="8">
        <v>45591</v>
      </c>
      <c r="C19" s="7" t="s">
        <v>18</v>
      </c>
      <c r="D19" s="7" t="s">
        <v>42</v>
      </c>
      <c r="E19" s="7" t="s">
        <v>29</v>
      </c>
      <c r="F19" s="7" t="s">
        <v>45</v>
      </c>
      <c r="G19" s="7" t="s">
        <v>56</v>
      </c>
      <c r="H19" s="7" t="s">
        <v>57</v>
      </c>
      <c r="I19" s="7" t="s">
        <v>58</v>
      </c>
      <c r="J19" s="7">
        <v>1</v>
      </c>
      <c r="K19" s="9">
        <v>780000</v>
      </c>
      <c r="L19" s="9">
        <v>590000</v>
      </c>
      <c r="M19" s="9">
        <v>780000</v>
      </c>
      <c r="N19" s="9">
        <v>590000</v>
      </c>
      <c r="O19" s="9">
        <v>190000</v>
      </c>
      <c r="P19" s="10">
        <v>0.24358974358974361</v>
      </c>
      <c r="Q19" s="7" t="s">
        <v>25</v>
      </c>
      <c r="R19" s="7" t="s">
        <v>26</v>
      </c>
      <c r="S19" s="7">
        <f t="shared" si="0"/>
        <v>2024</v>
      </c>
      <c r="T19" s="7" t="str">
        <f t="shared" si="1"/>
        <v>oct</v>
      </c>
      <c r="U19" s="15">
        <f t="shared" si="2"/>
        <v>45566</v>
      </c>
    </row>
    <row r="20" spans="1:21" x14ac:dyDescent="0.25">
      <c r="A20" s="7">
        <v>19</v>
      </c>
      <c r="B20" s="8">
        <v>45572</v>
      </c>
      <c r="C20" s="7" t="s">
        <v>27</v>
      </c>
      <c r="D20" s="7" t="s">
        <v>55</v>
      </c>
      <c r="E20" s="7" t="s">
        <v>51</v>
      </c>
      <c r="F20" s="7" t="s">
        <v>45</v>
      </c>
      <c r="G20" s="7" t="s">
        <v>56</v>
      </c>
      <c r="H20" s="7" t="s">
        <v>57</v>
      </c>
      <c r="I20" s="7" t="s">
        <v>58</v>
      </c>
      <c r="J20" s="7">
        <v>3</v>
      </c>
      <c r="K20" s="9">
        <v>520000</v>
      </c>
      <c r="L20" s="9">
        <v>365000</v>
      </c>
      <c r="M20" s="9">
        <v>1560000</v>
      </c>
      <c r="N20" s="9">
        <v>1095000</v>
      </c>
      <c r="O20" s="9">
        <v>465000</v>
      </c>
      <c r="P20" s="10">
        <v>0.29807692307692307</v>
      </c>
      <c r="Q20" s="7" t="s">
        <v>41</v>
      </c>
      <c r="R20" s="7" t="s">
        <v>26</v>
      </c>
      <c r="S20" s="7">
        <f t="shared" si="0"/>
        <v>2024</v>
      </c>
      <c r="T20" s="7" t="str">
        <f t="shared" si="1"/>
        <v>oct</v>
      </c>
      <c r="U20" s="15">
        <f t="shared" si="2"/>
        <v>45566</v>
      </c>
    </row>
    <row r="21" spans="1:21" x14ac:dyDescent="0.25">
      <c r="A21" s="7">
        <v>20</v>
      </c>
      <c r="B21" s="8">
        <v>45294</v>
      </c>
      <c r="C21" s="7" t="s">
        <v>27</v>
      </c>
      <c r="D21" s="7" t="s">
        <v>28</v>
      </c>
      <c r="E21" s="7" t="s">
        <v>29</v>
      </c>
      <c r="F21" s="7" t="s">
        <v>21</v>
      </c>
      <c r="G21" s="7" t="s">
        <v>22</v>
      </c>
      <c r="H21" s="7" t="s">
        <v>23</v>
      </c>
      <c r="I21" s="7" t="s">
        <v>24</v>
      </c>
      <c r="J21" s="7">
        <v>3</v>
      </c>
      <c r="K21" s="9">
        <v>220000</v>
      </c>
      <c r="L21" s="9">
        <v>145000</v>
      </c>
      <c r="M21" s="9">
        <v>660000</v>
      </c>
      <c r="N21" s="9">
        <v>435000</v>
      </c>
      <c r="O21" s="9">
        <v>225000</v>
      </c>
      <c r="P21" s="10">
        <v>0.34090909090909088</v>
      </c>
      <c r="Q21" s="7" t="s">
        <v>25</v>
      </c>
      <c r="R21" s="7" t="s">
        <v>26</v>
      </c>
      <c r="S21" s="7">
        <f t="shared" si="0"/>
        <v>2024</v>
      </c>
      <c r="T21" s="7" t="str">
        <f t="shared" si="1"/>
        <v>ene</v>
      </c>
      <c r="U21" s="15">
        <f t="shared" si="2"/>
        <v>45292</v>
      </c>
    </row>
    <row r="22" spans="1:21" x14ac:dyDescent="0.25">
      <c r="A22" s="7">
        <v>21</v>
      </c>
      <c r="B22" s="8">
        <v>45533</v>
      </c>
      <c r="C22" s="7" t="s">
        <v>18</v>
      </c>
      <c r="D22" s="7" t="s">
        <v>49</v>
      </c>
      <c r="E22" s="7" t="s">
        <v>20</v>
      </c>
      <c r="F22" s="7" t="s">
        <v>45</v>
      </c>
      <c r="G22" s="7" t="s">
        <v>46</v>
      </c>
      <c r="H22" s="7" t="s">
        <v>47</v>
      </c>
      <c r="I22" s="7" t="s">
        <v>48</v>
      </c>
      <c r="J22" s="7">
        <v>1</v>
      </c>
      <c r="K22" s="9">
        <v>45000</v>
      </c>
      <c r="L22" s="9">
        <v>21000</v>
      </c>
      <c r="M22" s="9">
        <v>45000</v>
      </c>
      <c r="N22" s="9">
        <v>21000</v>
      </c>
      <c r="O22" s="9">
        <v>24000</v>
      </c>
      <c r="P22" s="10">
        <v>0.53333333333333333</v>
      </c>
      <c r="Q22" s="7" t="s">
        <v>39</v>
      </c>
      <c r="R22" s="7" t="s">
        <v>26</v>
      </c>
      <c r="S22" s="7">
        <f t="shared" si="0"/>
        <v>2024</v>
      </c>
      <c r="T22" s="7" t="str">
        <f t="shared" si="1"/>
        <v>ago</v>
      </c>
      <c r="U22" s="15">
        <f t="shared" si="2"/>
        <v>45505</v>
      </c>
    </row>
    <row r="23" spans="1:21" x14ac:dyDescent="0.25">
      <c r="A23" s="7">
        <v>22</v>
      </c>
      <c r="B23" s="8">
        <v>45613</v>
      </c>
      <c r="C23" s="7" t="s">
        <v>27</v>
      </c>
      <c r="D23" s="7" t="s">
        <v>55</v>
      </c>
      <c r="E23" s="7" t="s">
        <v>51</v>
      </c>
      <c r="F23" s="7" t="s">
        <v>45</v>
      </c>
      <c r="G23" s="7" t="s">
        <v>22</v>
      </c>
      <c r="H23" s="7" t="s">
        <v>23</v>
      </c>
      <c r="I23" s="7" t="s">
        <v>24</v>
      </c>
      <c r="J23" s="7">
        <v>4</v>
      </c>
      <c r="K23" s="9">
        <v>520000</v>
      </c>
      <c r="L23" s="9">
        <v>365000</v>
      </c>
      <c r="M23" s="9">
        <v>2080000</v>
      </c>
      <c r="N23" s="9">
        <v>1460000</v>
      </c>
      <c r="O23" s="9">
        <v>620000</v>
      </c>
      <c r="P23" s="10">
        <v>0.29807692307692307</v>
      </c>
      <c r="Q23" s="7" t="s">
        <v>41</v>
      </c>
      <c r="R23" s="7" t="s">
        <v>26</v>
      </c>
      <c r="S23" s="7">
        <f t="shared" si="0"/>
        <v>2024</v>
      </c>
      <c r="T23" s="7" t="str">
        <f t="shared" si="1"/>
        <v>nov</v>
      </c>
      <c r="U23" s="15">
        <f t="shared" si="2"/>
        <v>45597</v>
      </c>
    </row>
    <row r="24" spans="1:21" x14ac:dyDescent="0.25">
      <c r="A24" s="7">
        <v>23</v>
      </c>
      <c r="B24" s="8">
        <v>45345</v>
      </c>
      <c r="C24" s="7" t="s">
        <v>27</v>
      </c>
      <c r="D24" s="7" t="s">
        <v>42</v>
      </c>
      <c r="E24" s="7" t="s">
        <v>29</v>
      </c>
      <c r="F24" s="7" t="s">
        <v>45</v>
      </c>
      <c r="G24" s="7" t="s">
        <v>43</v>
      </c>
      <c r="H24" s="7" t="s">
        <v>37</v>
      </c>
      <c r="I24" s="7" t="s">
        <v>44</v>
      </c>
      <c r="J24" s="7">
        <v>2</v>
      </c>
      <c r="K24" s="9">
        <v>780000</v>
      </c>
      <c r="L24" s="9">
        <v>590000</v>
      </c>
      <c r="M24" s="9">
        <v>1560000</v>
      </c>
      <c r="N24" s="9">
        <v>1180000</v>
      </c>
      <c r="O24" s="9">
        <v>380000</v>
      </c>
      <c r="P24" s="10">
        <v>0.24358974358974361</v>
      </c>
      <c r="Q24" s="7" t="s">
        <v>39</v>
      </c>
      <c r="R24" s="7" t="s">
        <v>26</v>
      </c>
      <c r="S24" s="7">
        <f t="shared" si="0"/>
        <v>2024</v>
      </c>
      <c r="T24" s="7" t="str">
        <f t="shared" si="1"/>
        <v>feb</v>
      </c>
      <c r="U24" s="15">
        <f t="shared" si="2"/>
        <v>45323</v>
      </c>
    </row>
    <row r="25" spans="1:21" x14ac:dyDescent="0.25">
      <c r="A25" s="7">
        <v>24</v>
      </c>
      <c r="B25" s="8">
        <v>45978</v>
      </c>
      <c r="C25" s="7" t="s">
        <v>18</v>
      </c>
      <c r="D25" s="7" t="s">
        <v>61</v>
      </c>
      <c r="E25" s="7" t="s">
        <v>29</v>
      </c>
      <c r="F25" s="7" t="s">
        <v>45</v>
      </c>
      <c r="G25" s="7" t="s">
        <v>43</v>
      </c>
      <c r="H25" s="7" t="s">
        <v>37</v>
      </c>
      <c r="I25" s="7" t="s">
        <v>44</v>
      </c>
      <c r="J25" s="7">
        <v>2</v>
      </c>
      <c r="K25" s="9">
        <v>390000</v>
      </c>
      <c r="L25" s="9">
        <v>270000</v>
      </c>
      <c r="M25" s="9">
        <v>780000</v>
      </c>
      <c r="N25" s="9">
        <v>540000</v>
      </c>
      <c r="O25" s="9">
        <v>240000</v>
      </c>
      <c r="P25" s="10">
        <v>0.30769230769230771</v>
      </c>
      <c r="Q25" s="7" t="s">
        <v>39</v>
      </c>
      <c r="R25" s="7" t="s">
        <v>26</v>
      </c>
      <c r="S25" s="7">
        <f t="shared" si="0"/>
        <v>2025</v>
      </c>
      <c r="T25" s="7" t="str">
        <f t="shared" si="1"/>
        <v>nov</v>
      </c>
      <c r="U25" s="15">
        <f t="shared" si="2"/>
        <v>45962</v>
      </c>
    </row>
    <row r="26" spans="1:21" x14ac:dyDescent="0.25">
      <c r="A26" s="7">
        <v>25</v>
      </c>
      <c r="B26" s="8">
        <v>45401</v>
      </c>
      <c r="C26" s="7" t="s">
        <v>27</v>
      </c>
      <c r="D26" s="7" t="s">
        <v>42</v>
      </c>
      <c r="E26" s="7" t="s">
        <v>29</v>
      </c>
      <c r="F26" s="7" t="s">
        <v>21</v>
      </c>
      <c r="G26" s="7" t="s">
        <v>43</v>
      </c>
      <c r="H26" s="7" t="s">
        <v>37</v>
      </c>
      <c r="I26" s="7" t="s">
        <v>44</v>
      </c>
      <c r="J26" s="7">
        <v>3</v>
      </c>
      <c r="K26" s="9">
        <v>780000</v>
      </c>
      <c r="L26" s="9">
        <v>590000</v>
      </c>
      <c r="M26" s="9">
        <v>2340000</v>
      </c>
      <c r="N26" s="9">
        <v>1770000</v>
      </c>
      <c r="O26" s="9">
        <v>570000</v>
      </c>
      <c r="P26" s="10">
        <v>0.24358974358974361</v>
      </c>
      <c r="Q26" s="7" t="s">
        <v>41</v>
      </c>
      <c r="R26" s="7" t="s">
        <v>26</v>
      </c>
      <c r="S26" s="7">
        <f t="shared" si="0"/>
        <v>2024</v>
      </c>
      <c r="T26" s="7" t="str">
        <f t="shared" si="1"/>
        <v>abr</v>
      </c>
      <c r="U26" s="15">
        <f t="shared" si="2"/>
        <v>45383</v>
      </c>
    </row>
    <row r="27" spans="1:21" x14ac:dyDescent="0.25">
      <c r="A27" s="7">
        <v>26</v>
      </c>
      <c r="B27" s="8">
        <v>45378</v>
      </c>
      <c r="C27" s="7" t="s">
        <v>27</v>
      </c>
      <c r="D27" s="7" t="s">
        <v>28</v>
      </c>
      <c r="E27" s="7" t="s">
        <v>29</v>
      </c>
      <c r="F27" s="7" t="s">
        <v>45</v>
      </c>
      <c r="G27" s="7" t="s">
        <v>52</v>
      </c>
      <c r="H27" s="7" t="s">
        <v>53</v>
      </c>
      <c r="I27" s="7" t="s">
        <v>54</v>
      </c>
      <c r="J27" s="7">
        <v>1</v>
      </c>
      <c r="K27" s="9">
        <v>220000</v>
      </c>
      <c r="L27" s="9">
        <v>145000</v>
      </c>
      <c r="M27" s="9">
        <v>220000</v>
      </c>
      <c r="N27" s="9">
        <v>145000</v>
      </c>
      <c r="O27" s="9">
        <v>75000</v>
      </c>
      <c r="P27" s="10">
        <v>0.34090909090909088</v>
      </c>
      <c r="Q27" s="7" t="s">
        <v>33</v>
      </c>
      <c r="R27" s="7" t="s">
        <v>26</v>
      </c>
      <c r="S27" s="7">
        <f t="shared" si="0"/>
        <v>2024</v>
      </c>
      <c r="T27" s="7" t="str">
        <f t="shared" si="1"/>
        <v>mar</v>
      </c>
      <c r="U27" s="15">
        <f t="shared" si="2"/>
        <v>45352</v>
      </c>
    </row>
    <row r="28" spans="1:21" x14ac:dyDescent="0.25">
      <c r="A28" s="7">
        <v>27</v>
      </c>
      <c r="B28" s="8">
        <v>45984</v>
      </c>
      <c r="C28" s="7" t="s">
        <v>18</v>
      </c>
      <c r="D28" s="7" t="s">
        <v>19</v>
      </c>
      <c r="E28" s="7" t="s">
        <v>20</v>
      </c>
      <c r="F28" s="7" t="s">
        <v>45</v>
      </c>
      <c r="G28" s="7" t="s">
        <v>59</v>
      </c>
      <c r="H28" s="7" t="s">
        <v>31</v>
      </c>
      <c r="I28" s="7" t="s">
        <v>60</v>
      </c>
      <c r="J28" s="7">
        <v>3</v>
      </c>
      <c r="K28" s="9">
        <v>24000</v>
      </c>
      <c r="L28" s="9">
        <v>9500</v>
      </c>
      <c r="M28" s="9">
        <v>72000</v>
      </c>
      <c r="N28" s="9">
        <v>28500</v>
      </c>
      <c r="O28" s="9">
        <v>43500</v>
      </c>
      <c r="P28" s="10">
        <v>0.60416666666666663</v>
      </c>
      <c r="Q28" s="7" t="s">
        <v>39</v>
      </c>
      <c r="R28" s="7" t="s">
        <v>26</v>
      </c>
      <c r="S28" s="7">
        <f t="shared" si="0"/>
        <v>2025</v>
      </c>
      <c r="T28" s="7" t="str">
        <f t="shared" si="1"/>
        <v>nov</v>
      </c>
      <c r="U28" s="15">
        <f t="shared" si="2"/>
        <v>45962</v>
      </c>
    </row>
    <row r="29" spans="1:21" x14ac:dyDescent="0.25">
      <c r="A29" s="7">
        <v>28</v>
      </c>
      <c r="B29" s="8">
        <v>45606</v>
      </c>
      <c r="C29" s="7" t="s">
        <v>27</v>
      </c>
      <c r="D29" s="7" t="s">
        <v>28</v>
      </c>
      <c r="E29" s="7" t="s">
        <v>29</v>
      </c>
      <c r="F29" s="7" t="s">
        <v>21</v>
      </c>
      <c r="G29" s="7" t="s">
        <v>52</v>
      </c>
      <c r="H29" s="7" t="s">
        <v>53</v>
      </c>
      <c r="I29" s="7" t="s">
        <v>54</v>
      </c>
      <c r="J29" s="7">
        <v>1</v>
      </c>
      <c r="K29" s="9">
        <v>220000</v>
      </c>
      <c r="L29" s="9">
        <v>145000</v>
      </c>
      <c r="M29" s="9">
        <v>220000</v>
      </c>
      <c r="N29" s="9">
        <v>145000</v>
      </c>
      <c r="O29" s="9">
        <v>75000</v>
      </c>
      <c r="P29" s="10">
        <v>0.34090909090909088</v>
      </c>
      <c r="Q29" s="7" t="s">
        <v>41</v>
      </c>
      <c r="R29" s="7" t="s">
        <v>26</v>
      </c>
      <c r="S29" s="7">
        <f t="shared" si="0"/>
        <v>2024</v>
      </c>
      <c r="T29" s="7" t="str">
        <f t="shared" si="1"/>
        <v>nov</v>
      </c>
      <c r="U29" s="15">
        <f t="shared" si="2"/>
        <v>45597</v>
      </c>
    </row>
    <row r="30" spans="1:21" x14ac:dyDescent="0.25">
      <c r="A30" s="7">
        <v>29</v>
      </c>
      <c r="B30" s="8">
        <v>45359</v>
      </c>
      <c r="C30" s="7" t="s">
        <v>18</v>
      </c>
      <c r="D30" s="7" t="s">
        <v>42</v>
      </c>
      <c r="E30" s="7" t="s">
        <v>29</v>
      </c>
      <c r="F30" s="7" t="s">
        <v>21</v>
      </c>
      <c r="G30" s="7" t="s">
        <v>52</v>
      </c>
      <c r="H30" s="7" t="s">
        <v>53</v>
      </c>
      <c r="I30" s="7" t="s">
        <v>54</v>
      </c>
      <c r="J30" s="7">
        <v>4</v>
      </c>
      <c r="K30" s="9">
        <v>780000</v>
      </c>
      <c r="L30" s="9">
        <v>590000</v>
      </c>
      <c r="M30" s="9">
        <v>3120000</v>
      </c>
      <c r="N30" s="9">
        <v>2360000</v>
      </c>
      <c r="O30" s="9">
        <v>760000</v>
      </c>
      <c r="P30" s="10">
        <v>0.24358974358974361</v>
      </c>
      <c r="Q30" s="7" t="s">
        <v>33</v>
      </c>
      <c r="R30" s="7" t="s">
        <v>26</v>
      </c>
      <c r="S30" s="7">
        <f t="shared" si="0"/>
        <v>2024</v>
      </c>
      <c r="T30" s="7" t="str">
        <f t="shared" si="1"/>
        <v>mar</v>
      </c>
      <c r="U30" s="15">
        <f t="shared" si="2"/>
        <v>45352</v>
      </c>
    </row>
    <row r="31" spans="1:21" x14ac:dyDescent="0.25">
      <c r="A31" s="7">
        <v>30</v>
      </c>
      <c r="B31" s="8">
        <v>45580</v>
      </c>
      <c r="C31" s="7" t="s">
        <v>18</v>
      </c>
      <c r="D31" s="7" t="s">
        <v>34</v>
      </c>
      <c r="E31" s="7" t="s">
        <v>35</v>
      </c>
      <c r="F31" s="7" t="s">
        <v>21</v>
      </c>
      <c r="G31" s="7" t="s">
        <v>46</v>
      </c>
      <c r="H31" s="7" t="s">
        <v>47</v>
      </c>
      <c r="I31" s="7" t="s">
        <v>48</v>
      </c>
      <c r="J31" s="7">
        <v>2</v>
      </c>
      <c r="K31" s="9">
        <v>115000</v>
      </c>
      <c r="L31" s="9">
        <v>68000</v>
      </c>
      <c r="M31" s="9">
        <v>230000</v>
      </c>
      <c r="N31" s="9">
        <v>136000</v>
      </c>
      <c r="O31" s="9">
        <v>94000</v>
      </c>
      <c r="P31" s="10">
        <v>0.40869565217391313</v>
      </c>
      <c r="Q31" s="7" t="s">
        <v>39</v>
      </c>
      <c r="R31" s="7" t="s">
        <v>26</v>
      </c>
      <c r="S31" s="7">
        <f t="shared" si="0"/>
        <v>2024</v>
      </c>
      <c r="T31" s="7" t="str">
        <f t="shared" si="1"/>
        <v>oct</v>
      </c>
      <c r="U31" s="15">
        <f t="shared" si="2"/>
        <v>45566</v>
      </c>
    </row>
    <row r="32" spans="1:21" x14ac:dyDescent="0.25">
      <c r="A32" s="7">
        <v>31</v>
      </c>
      <c r="B32" s="8">
        <v>45433</v>
      </c>
      <c r="C32" s="7" t="s">
        <v>27</v>
      </c>
      <c r="D32" s="7" t="s">
        <v>49</v>
      </c>
      <c r="E32" s="7" t="s">
        <v>20</v>
      </c>
      <c r="F32" s="7" t="s">
        <v>45</v>
      </c>
      <c r="G32" s="7" t="s">
        <v>22</v>
      </c>
      <c r="H32" s="7" t="s">
        <v>23</v>
      </c>
      <c r="I32" s="7" t="s">
        <v>24</v>
      </c>
      <c r="J32" s="7">
        <v>4</v>
      </c>
      <c r="K32" s="9">
        <v>45000</v>
      </c>
      <c r="L32" s="9">
        <v>21000</v>
      </c>
      <c r="M32" s="9">
        <v>180000</v>
      </c>
      <c r="N32" s="9">
        <v>84000</v>
      </c>
      <c r="O32" s="9">
        <v>96000</v>
      </c>
      <c r="P32" s="10">
        <v>0.53333333333333333</v>
      </c>
      <c r="Q32" s="7" t="s">
        <v>33</v>
      </c>
      <c r="R32" s="7" t="s">
        <v>26</v>
      </c>
      <c r="S32" s="7">
        <f t="shared" si="0"/>
        <v>2024</v>
      </c>
      <c r="T32" s="7" t="str">
        <f t="shared" si="1"/>
        <v>may</v>
      </c>
      <c r="U32" s="15">
        <f t="shared" si="2"/>
        <v>45413</v>
      </c>
    </row>
    <row r="33" spans="1:21" x14ac:dyDescent="0.25">
      <c r="A33" s="7">
        <v>32</v>
      </c>
      <c r="B33" s="8">
        <v>45331</v>
      </c>
      <c r="C33" s="7" t="s">
        <v>18</v>
      </c>
      <c r="D33" s="7" t="s">
        <v>61</v>
      </c>
      <c r="E33" s="7" t="s">
        <v>29</v>
      </c>
      <c r="F33" s="7" t="s">
        <v>21</v>
      </c>
      <c r="G33" s="7" t="s">
        <v>36</v>
      </c>
      <c r="H33" s="7" t="s">
        <v>37</v>
      </c>
      <c r="I33" s="7" t="s">
        <v>38</v>
      </c>
      <c r="J33" s="7">
        <v>4</v>
      </c>
      <c r="K33" s="9">
        <v>390000</v>
      </c>
      <c r="L33" s="9">
        <v>270000</v>
      </c>
      <c r="M33" s="9">
        <v>1560000</v>
      </c>
      <c r="N33" s="9">
        <v>1080000</v>
      </c>
      <c r="O33" s="9">
        <v>480000</v>
      </c>
      <c r="P33" s="10">
        <v>0.30769230769230771</v>
      </c>
      <c r="Q33" s="7" t="s">
        <v>33</v>
      </c>
      <c r="R33" s="7" t="s">
        <v>26</v>
      </c>
      <c r="S33" s="7">
        <f t="shared" si="0"/>
        <v>2024</v>
      </c>
      <c r="T33" s="7" t="str">
        <f t="shared" si="1"/>
        <v>feb</v>
      </c>
      <c r="U33" s="15">
        <f t="shared" si="2"/>
        <v>45323</v>
      </c>
    </row>
    <row r="34" spans="1:21" x14ac:dyDescent="0.25">
      <c r="A34" s="7">
        <v>33</v>
      </c>
      <c r="B34" s="8">
        <v>45728</v>
      </c>
      <c r="C34" s="7" t="s">
        <v>18</v>
      </c>
      <c r="D34" s="7" t="s">
        <v>62</v>
      </c>
      <c r="E34" s="7" t="s">
        <v>20</v>
      </c>
      <c r="F34" s="7" t="s">
        <v>21</v>
      </c>
      <c r="G34" s="7" t="s">
        <v>46</v>
      </c>
      <c r="H34" s="7" t="s">
        <v>47</v>
      </c>
      <c r="I34" s="7" t="s">
        <v>48</v>
      </c>
      <c r="J34" s="7">
        <v>3</v>
      </c>
      <c r="K34" s="9">
        <v>28000</v>
      </c>
      <c r="L34" s="9">
        <v>11000</v>
      </c>
      <c r="M34" s="9">
        <v>84000</v>
      </c>
      <c r="N34" s="9">
        <v>33000</v>
      </c>
      <c r="O34" s="9">
        <v>51000</v>
      </c>
      <c r="P34" s="10">
        <v>0.6071428571428571</v>
      </c>
      <c r="Q34" s="7" t="s">
        <v>33</v>
      </c>
      <c r="R34" s="7" t="s">
        <v>26</v>
      </c>
      <c r="S34" s="7">
        <f t="shared" si="0"/>
        <v>2025</v>
      </c>
      <c r="T34" s="7" t="str">
        <f t="shared" si="1"/>
        <v>mar</v>
      </c>
      <c r="U34" s="15">
        <f t="shared" si="2"/>
        <v>45717</v>
      </c>
    </row>
    <row r="35" spans="1:21" x14ac:dyDescent="0.25">
      <c r="A35" s="7">
        <v>34</v>
      </c>
      <c r="B35" s="8">
        <v>45340</v>
      </c>
      <c r="C35" s="7" t="s">
        <v>27</v>
      </c>
      <c r="D35" s="7" t="s">
        <v>62</v>
      </c>
      <c r="E35" s="7" t="s">
        <v>20</v>
      </c>
      <c r="F35" s="7" t="s">
        <v>21</v>
      </c>
      <c r="G35" s="7" t="s">
        <v>56</v>
      </c>
      <c r="H35" s="7" t="s">
        <v>57</v>
      </c>
      <c r="I35" s="7" t="s">
        <v>58</v>
      </c>
      <c r="J35" s="7">
        <v>4</v>
      </c>
      <c r="K35" s="9">
        <v>28000</v>
      </c>
      <c r="L35" s="9">
        <v>11000</v>
      </c>
      <c r="M35" s="9">
        <v>112000</v>
      </c>
      <c r="N35" s="9">
        <v>44000</v>
      </c>
      <c r="O35" s="9">
        <v>68000</v>
      </c>
      <c r="P35" s="10">
        <v>0.6071428571428571</v>
      </c>
      <c r="Q35" s="7" t="s">
        <v>41</v>
      </c>
      <c r="R35" s="7" t="s">
        <v>26</v>
      </c>
      <c r="S35" s="7">
        <f t="shared" si="0"/>
        <v>2024</v>
      </c>
      <c r="T35" s="7" t="str">
        <f t="shared" si="1"/>
        <v>feb</v>
      </c>
      <c r="U35" s="15">
        <f t="shared" si="2"/>
        <v>45323</v>
      </c>
    </row>
    <row r="36" spans="1:21" x14ac:dyDescent="0.25">
      <c r="A36" s="7">
        <v>35</v>
      </c>
      <c r="B36" s="8">
        <v>45962</v>
      </c>
      <c r="C36" s="7" t="s">
        <v>18</v>
      </c>
      <c r="D36" s="7" t="s">
        <v>55</v>
      </c>
      <c r="E36" s="7" t="s">
        <v>51</v>
      </c>
      <c r="F36" s="7" t="s">
        <v>45</v>
      </c>
      <c r="G36" s="7" t="s">
        <v>56</v>
      </c>
      <c r="H36" s="7" t="s">
        <v>57</v>
      </c>
      <c r="I36" s="7" t="s">
        <v>58</v>
      </c>
      <c r="J36" s="7">
        <v>2</v>
      </c>
      <c r="K36" s="9">
        <v>520000</v>
      </c>
      <c r="L36" s="9">
        <v>365000</v>
      </c>
      <c r="M36" s="9">
        <v>1040000</v>
      </c>
      <c r="N36" s="9">
        <v>730000</v>
      </c>
      <c r="O36" s="9">
        <v>310000</v>
      </c>
      <c r="P36" s="10">
        <v>0.29807692307692307</v>
      </c>
      <c r="Q36" s="7" t="s">
        <v>41</v>
      </c>
      <c r="R36" s="7" t="s">
        <v>26</v>
      </c>
      <c r="S36" s="7">
        <f t="shared" si="0"/>
        <v>2025</v>
      </c>
      <c r="T36" s="7" t="str">
        <f t="shared" si="1"/>
        <v>nov</v>
      </c>
      <c r="U36" s="15">
        <f t="shared" si="2"/>
        <v>45962</v>
      </c>
    </row>
    <row r="37" spans="1:21" x14ac:dyDescent="0.25">
      <c r="A37" s="7">
        <v>36</v>
      </c>
      <c r="B37" s="8">
        <v>45324</v>
      </c>
      <c r="C37" s="7" t="s">
        <v>18</v>
      </c>
      <c r="D37" s="7" t="s">
        <v>55</v>
      </c>
      <c r="E37" s="7" t="s">
        <v>51</v>
      </c>
      <c r="F37" s="7" t="s">
        <v>45</v>
      </c>
      <c r="G37" s="7" t="s">
        <v>43</v>
      </c>
      <c r="H37" s="7" t="s">
        <v>37</v>
      </c>
      <c r="I37" s="7" t="s">
        <v>44</v>
      </c>
      <c r="J37" s="7">
        <v>3</v>
      </c>
      <c r="K37" s="9">
        <v>520000</v>
      </c>
      <c r="L37" s="9">
        <v>365000</v>
      </c>
      <c r="M37" s="9">
        <v>1560000</v>
      </c>
      <c r="N37" s="9">
        <v>1095000</v>
      </c>
      <c r="O37" s="9">
        <v>465000</v>
      </c>
      <c r="P37" s="10">
        <v>0.29807692307692307</v>
      </c>
      <c r="Q37" s="7" t="s">
        <v>41</v>
      </c>
      <c r="R37" s="7" t="s">
        <v>26</v>
      </c>
      <c r="S37" s="7">
        <f t="shared" si="0"/>
        <v>2024</v>
      </c>
      <c r="T37" s="7" t="str">
        <f t="shared" si="1"/>
        <v>feb</v>
      </c>
      <c r="U37" s="15">
        <f t="shared" si="2"/>
        <v>45323</v>
      </c>
    </row>
    <row r="38" spans="1:21" x14ac:dyDescent="0.25">
      <c r="A38" s="7">
        <v>37</v>
      </c>
      <c r="B38" s="8">
        <v>45866</v>
      </c>
      <c r="C38" s="7" t="s">
        <v>18</v>
      </c>
      <c r="D38" s="7" t="s">
        <v>50</v>
      </c>
      <c r="E38" s="7" t="s">
        <v>51</v>
      </c>
      <c r="F38" s="7" t="s">
        <v>21</v>
      </c>
      <c r="G38" s="7" t="s">
        <v>22</v>
      </c>
      <c r="H38" s="7" t="s">
        <v>23</v>
      </c>
      <c r="I38" s="7" t="s">
        <v>24</v>
      </c>
      <c r="J38" s="7">
        <v>1</v>
      </c>
      <c r="K38" s="9">
        <v>310000</v>
      </c>
      <c r="L38" s="9">
        <v>210000</v>
      </c>
      <c r="M38" s="9">
        <v>310000</v>
      </c>
      <c r="N38" s="9">
        <v>210000</v>
      </c>
      <c r="O38" s="9">
        <v>100000</v>
      </c>
      <c r="P38" s="10">
        <v>0.32258064516129031</v>
      </c>
      <c r="Q38" s="7" t="s">
        <v>41</v>
      </c>
      <c r="R38" s="7" t="s">
        <v>26</v>
      </c>
      <c r="S38" s="7">
        <f t="shared" si="0"/>
        <v>2025</v>
      </c>
      <c r="T38" s="7" t="str">
        <f t="shared" si="1"/>
        <v>jul</v>
      </c>
      <c r="U38" s="15">
        <f t="shared" si="2"/>
        <v>45839</v>
      </c>
    </row>
    <row r="39" spans="1:21" x14ac:dyDescent="0.25">
      <c r="A39" s="7">
        <v>38</v>
      </c>
      <c r="B39" s="8">
        <v>45630</v>
      </c>
      <c r="C39" s="7" t="s">
        <v>27</v>
      </c>
      <c r="D39" s="7" t="s">
        <v>28</v>
      </c>
      <c r="E39" s="7" t="s">
        <v>29</v>
      </c>
      <c r="F39" s="7" t="s">
        <v>21</v>
      </c>
      <c r="G39" s="7" t="s">
        <v>52</v>
      </c>
      <c r="H39" s="7" t="s">
        <v>53</v>
      </c>
      <c r="I39" s="7" t="s">
        <v>54</v>
      </c>
      <c r="J39" s="7">
        <v>1</v>
      </c>
      <c r="K39" s="9">
        <v>220000</v>
      </c>
      <c r="L39" s="9">
        <v>145000</v>
      </c>
      <c r="M39" s="9">
        <v>220000</v>
      </c>
      <c r="N39" s="9">
        <v>145000</v>
      </c>
      <c r="O39" s="9">
        <v>75000</v>
      </c>
      <c r="P39" s="10">
        <v>0.34090909090909088</v>
      </c>
      <c r="Q39" s="7" t="s">
        <v>39</v>
      </c>
      <c r="R39" s="7" t="s">
        <v>26</v>
      </c>
      <c r="S39" s="7">
        <f t="shared" si="0"/>
        <v>2024</v>
      </c>
      <c r="T39" s="7" t="str">
        <f t="shared" si="1"/>
        <v>dic</v>
      </c>
      <c r="U39" s="15">
        <f t="shared" si="2"/>
        <v>45627</v>
      </c>
    </row>
    <row r="40" spans="1:21" x14ac:dyDescent="0.25">
      <c r="A40" s="7">
        <v>39</v>
      </c>
      <c r="B40" s="8">
        <v>45788</v>
      </c>
      <c r="C40" s="7" t="s">
        <v>27</v>
      </c>
      <c r="D40" s="7" t="s">
        <v>42</v>
      </c>
      <c r="E40" s="7" t="s">
        <v>29</v>
      </c>
      <c r="F40" s="7" t="s">
        <v>21</v>
      </c>
      <c r="G40" s="7" t="s">
        <v>56</v>
      </c>
      <c r="H40" s="7" t="s">
        <v>57</v>
      </c>
      <c r="I40" s="7" t="s">
        <v>58</v>
      </c>
      <c r="J40" s="7">
        <v>1</v>
      </c>
      <c r="K40" s="9">
        <v>780000</v>
      </c>
      <c r="L40" s="9">
        <v>590000</v>
      </c>
      <c r="M40" s="9">
        <v>780000</v>
      </c>
      <c r="N40" s="9">
        <v>590000</v>
      </c>
      <c r="O40" s="9">
        <v>190000</v>
      </c>
      <c r="P40" s="10">
        <v>0.24358974358974361</v>
      </c>
      <c r="Q40" s="7" t="s">
        <v>25</v>
      </c>
      <c r="R40" s="7" t="s">
        <v>26</v>
      </c>
      <c r="S40" s="7">
        <f t="shared" si="0"/>
        <v>2025</v>
      </c>
      <c r="T40" s="7" t="str">
        <f t="shared" si="1"/>
        <v>may</v>
      </c>
      <c r="U40" s="15">
        <f t="shared" si="2"/>
        <v>45778</v>
      </c>
    </row>
    <row r="41" spans="1:21" x14ac:dyDescent="0.25">
      <c r="A41" s="7">
        <v>40</v>
      </c>
      <c r="B41" s="8">
        <v>45789</v>
      </c>
      <c r="C41" s="7" t="s">
        <v>27</v>
      </c>
      <c r="D41" s="7" t="s">
        <v>42</v>
      </c>
      <c r="E41" s="7" t="s">
        <v>29</v>
      </c>
      <c r="F41" s="7" t="s">
        <v>21</v>
      </c>
      <c r="G41" s="7" t="s">
        <v>30</v>
      </c>
      <c r="H41" s="7" t="s">
        <v>31</v>
      </c>
      <c r="I41" s="7" t="s">
        <v>32</v>
      </c>
      <c r="J41" s="7">
        <v>4</v>
      </c>
      <c r="K41" s="9">
        <v>780000</v>
      </c>
      <c r="L41" s="9">
        <v>590000</v>
      </c>
      <c r="M41" s="9">
        <v>3120000</v>
      </c>
      <c r="N41" s="9">
        <v>2360000</v>
      </c>
      <c r="O41" s="9">
        <v>760000</v>
      </c>
      <c r="P41" s="10">
        <v>0.24358974358974361</v>
      </c>
      <c r="Q41" s="7" t="s">
        <v>39</v>
      </c>
      <c r="R41" s="7" t="s">
        <v>26</v>
      </c>
      <c r="S41" s="7">
        <f t="shared" si="0"/>
        <v>2025</v>
      </c>
      <c r="T41" s="7" t="str">
        <f t="shared" si="1"/>
        <v>may</v>
      </c>
      <c r="U41" s="15">
        <f t="shared" si="2"/>
        <v>45778</v>
      </c>
    </row>
    <row r="42" spans="1:21" x14ac:dyDescent="0.25">
      <c r="A42" s="7">
        <v>41</v>
      </c>
      <c r="B42" s="8">
        <v>45676</v>
      </c>
      <c r="C42" s="7" t="s">
        <v>27</v>
      </c>
      <c r="D42" s="7" t="s">
        <v>55</v>
      </c>
      <c r="E42" s="7" t="s">
        <v>51</v>
      </c>
      <c r="F42" s="7" t="s">
        <v>45</v>
      </c>
      <c r="G42" s="7" t="s">
        <v>30</v>
      </c>
      <c r="H42" s="7" t="s">
        <v>31</v>
      </c>
      <c r="I42" s="7" t="s">
        <v>32</v>
      </c>
      <c r="J42" s="7">
        <v>1</v>
      </c>
      <c r="K42" s="9">
        <v>520000</v>
      </c>
      <c r="L42" s="9">
        <v>365000</v>
      </c>
      <c r="M42" s="9">
        <v>520000</v>
      </c>
      <c r="N42" s="9">
        <v>365000</v>
      </c>
      <c r="O42" s="9">
        <v>155000</v>
      </c>
      <c r="P42" s="10">
        <v>0.29807692307692307</v>
      </c>
      <c r="Q42" s="7" t="s">
        <v>33</v>
      </c>
      <c r="R42" s="7" t="s">
        <v>26</v>
      </c>
      <c r="S42" s="7">
        <f t="shared" si="0"/>
        <v>2025</v>
      </c>
      <c r="T42" s="7" t="str">
        <f t="shared" si="1"/>
        <v>ene</v>
      </c>
      <c r="U42" s="15">
        <f t="shared" si="2"/>
        <v>45658</v>
      </c>
    </row>
    <row r="43" spans="1:21" x14ac:dyDescent="0.25">
      <c r="A43" s="7">
        <v>42</v>
      </c>
      <c r="B43" s="8">
        <v>45640</v>
      </c>
      <c r="C43" s="7" t="s">
        <v>27</v>
      </c>
      <c r="D43" s="7" t="s">
        <v>42</v>
      </c>
      <c r="E43" s="7" t="s">
        <v>29</v>
      </c>
      <c r="F43" s="7" t="s">
        <v>21</v>
      </c>
      <c r="G43" s="7" t="s">
        <v>22</v>
      </c>
      <c r="H43" s="7" t="s">
        <v>23</v>
      </c>
      <c r="I43" s="7" t="s">
        <v>24</v>
      </c>
      <c r="J43" s="7">
        <v>4</v>
      </c>
      <c r="K43" s="9">
        <v>780000</v>
      </c>
      <c r="L43" s="9">
        <v>590000</v>
      </c>
      <c r="M43" s="9">
        <v>3120000</v>
      </c>
      <c r="N43" s="9">
        <v>2360000</v>
      </c>
      <c r="O43" s="9">
        <v>760000</v>
      </c>
      <c r="P43" s="10">
        <v>0.24358974358974361</v>
      </c>
      <c r="Q43" s="7" t="s">
        <v>25</v>
      </c>
      <c r="R43" s="7" t="s">
        <v>26</v>
      </c>
      <c r="S43" s="7">
        <f t="shared" si="0"/>
        <v>2024</v>
      </c>
      <c r="T43" s="7" t="str">
        <f t="shared" si="1"/>
        <v>dic</v>
      </c>
      <c r="U43" s="15">
        <f t="shared" si="2"/>
        <v>45627</v>
      </c>
    </row>
    <row r="44" spans="1:21" x14ac:dyDescent="0.25">
      <c r="A44" s="7">
        <v>43</v>
      </c>
      <c r="B44" s="8">
        <v>45839</v>
      </c>
      <c r="C44" s="7" t="s">
        <v>18</v>
      </c>
      <c r="D44" s="7" t="s">
        <v>40</v>
      </c>
      <c r="E44" s="7" t="s">
        <v>35</v>
      </c>
      <c r="F44" s="7" t="s">
        <v>45</v>
      </c>
      <c r="G44" s="7" t="s">
        <v>22</v>
      </c>
      <c r="H44" s="7" t="s">
        <v>23</v>
      </c>
      <c r="I44" s="7" t="s">
        <v>24</v>
      </c>
      <c r="J44" s="7">
        <v>4</v>
      </c>
      <c r="K44" s="9">
        <v>185000</v>
      </c>
      <c r="L44" s="9">
        <v>108000</v>
      </c>
      <c r="M44" s="9">
        <v>740000</v>
      </c>
      <c r="N44" s="9">
        <v>432000</v>
      </c>
      <c r="O44" s="9">
        <v>308000</v>
      </c>
      <c r="P44" s="10">
        <v>0.41621621621621618</v>
      </c>
      <c r="Q44" s="7" t="s">
        <v>39</v>
      </c>
      <c r="R44" s="7" t="s">
        <v>26</v>
      </c>
      <c r="S44" s="7">
        <f t="shared" si="0"/>
        <v>2025</v>
      </c>
      <c r="T44" s="7" t="str">
        <f t="shared" si="1"/>
        <v>jul</v>
      </c>
      <c r="U44" s="15">
        <f t="shared" si="2"/>
        <v>45839</v>
      </c>
    </row>
    <row r="45" spans="1:21" x14ac:dyDescent="0.25">
      <c r="A45" s="7">
        <v>44</v>
      </c>
      <c r="B45" s="8">
        <v>45882</v>
      </c>
      <c r="C45" s="7" t="s">
        <v>27</v>
      </c>
      <c r="D45" s="7" t="s">
        <v>34</v>
      </c>
      <c r="E45" s="7" t="s">
        <v>35</v>
      </c>
      <c r="F45" s="7" t="s">
        <v>21</v>
      </c>
      <c r="G45" s="7" t="s">
        <v>43</v>
      </c>
      <c r="H45" s="7" t="s">
        <v>37</v>
      </c>
      <c r="I45" s="7" t="s">
        <v>44</v>
      </c>
      <c r="J45" s="7">
        <v>1</v>
      </c>
      <c r="K45" s="9">
        <v>115000</v>
      </c>
      <c r="L45" s="9">
        <v>68000</v>
      </c>
      <c r="M45" s="9">
        <v>115000</v>
      </c>
      <c r="N45" s="9">
        <v>68000</v>
      </c>
      <c r="O45" s="9">
        <v>47000</v>
      </c>
      <c r="P45" s="10">
        <v>0.40869565217391313</v>
      </c>
      <c r="Q45" s="7" t="s">
        <v>25</v>
      </c>
      <c r="R45" s="7" t="s">
        <v>26</v>
      </c>
      <c r="S45" s="7">
        <f t="shared" si="0"/>
        <v>2025</v>
      </c>
      <c r="T45" s="7" t="str">
        <f t="shared" si="1"/>
        <v>ago</v>
      </c>
      <c r="U45" s="15">
        <f t="shared" si="2"/>
        <v>45870</v>
      </c>
    </row>
    <row r="46" spans="1:21" x14ac:dyDescent="0.25">
      <c r="A46" s="7">
        <v>45</v>
      </c>
      <c r="B46" s="8">
        <v>45426</v>
      </c>
      <c r="C46" s="7" t="s">
        <v>27</v>
      </c>
      <c r="D46" s="7" t="s">
        <v>34</v>
      </c>
      <c r="E46" s="7" t="s">
        <v>35</v>
      </c>
      <c r="F46" s="7" t="s">
        <v>45</v>
      </c>
      <c r="G46" s="7" t="s">
        <v>22</v>
      </c>
      <c r="H46" s="7" t="s">
        <v>23</v>
      </c>
      <c r="I46" s="7" t="s">
        <v>24</v>
      </c>
      <c r="J46" s="7">
        <v>1</v>
      </c>
      <c r="K46" s="9">
        <v>115000</v>
      </c>
      <c r="L46" s="9">
        <v>68000</v>
      </c>
      <c r="M46" s="9">
        <v>115000</v>
      </c>
      <c r="N46" s="9">
        <v>68000</v>
      </c>
      <c r="O46" s="9">
        <v>47000</v>
      </c>
      <c r="P46" s="10">
        <v>0.40869565217391313</v>
      </c>
      <c r="Q46" s="7" t="s">
        <v>25</v>
      </c>
      <c r="R46" s="7" t="s">
        <v>26</v>
      </c>
      <c r="S46" s="7">
        <f t="shared" si="0"/>
        <v>2024</v>
      </c>
      <c r="T46" s="7" t="str">
        <f t="shared" si="1"/>
        <v>may</v>
      </c>
      <c r="U46" s="15">
        <f t="shared" si="2"/>
        <v>45413</v>
      </c>
    </row>
    <row r="47" spans="1:21" x14ac:dyDescent="0.25">
      <c r="A47" s="7">
        <v>46</v>
      </c>
      <c r="B47" s="8">
        <v>45940</v>
      </c>
      <c r="C47" s="7" t="s">
        <v>27</v>
      </c>
      <c r="D47" s="7" t="s">
        <v>55</v>
      </c>
      <c r="E47" s="7" t="s">
        <v>51</v>
      </c>
      <c r="F47" s="7" t="s">
        <v>45</v>
      </c>
      <c r="G47" s="7" t="s">
        <v>46</v>
      </c>
      <c r="H47" s="7" t="s">
        <v>47</v>
      </c>
      <c r="I47" s="7" t="s">
        <v>48</v>
      </c>
      <c r="J47" s="7">
        <v>4</v>
      </c>
      <c r="K47" s="9">
        <v>520000</v>
      </c>
      <c r="L47" s="9">
        <v>365000</v>
      </c>
      <c r="M47" s="9">
        <v>2080000</v>
      </c>
      <c r="N47" s="9">
        <v>1460000</v>
      </c>
      <c r="O47" s="9">
        <v>620000</v>
      </c>
      <c r="P47" s="10">
        <v>0.29807692307692307</v>
      </c>
      <c r="Q47" s="7" t="s">
        <v>33</v>
      </c>
      <c r="R47" s="7" t="s">
        <v>26</v>
      </c>
      <c r="S47" s="7">
        <f t="shared" si="0"/>
        <v>2025</v>
      </c>
      <c r="T47" s="7" t="str">
        <f t="shared" si="1"/>
        <v>oct</v>
      </c>
      <c r="U47" s="15">
        <f t="shared" si="2"/>
        <v>45931</v>
      </c>
    </row>
    <row r="48" spans="1:21" x14ac:dyDescent="0.25">
      <c r="A48" s="7">
        <v>47</v>
      </c>
      <c r="B48" s="8">
        <v>45429</v>
      </c>
      <c r="C48" s="7" t="s">
        <v>27</v>
      </c>
      <c r="D48" s="7" t="s">
        <v>62</v>
      </c>
      <c r="E48" s="7" t="s">
        <v>20</v>
      </c>
      <c r="F48" s="7" t="s">
        <v>21</v>
      </c>
      <c r="G48" s="7" t="s">
        <v>30</v>
      </c>
      <c r="H48" s="7" t="s">
        <v>31</v>
      </c>
      <c r="I48" s="7" t="s">
        <v>32</v>
      </c>
      <c r="J48" s="7">
        <v>1</v>
      </c>
      <c r="K48" s="9">
        <v>28000</v>
      </c>
      <c r="L48" s="9">
        <v>11000</v>
      </c>
      <c r="M48" s="9">
        <v>28000</v>
      </c>
      <c r="N48" s="9">
        <v>11000</v>
      </c>
      <c r="O48" s="9">
        <v>17000</v>
      </c>
      <c r="P48" s="10">
        <v>0.6071428571428571</v>
      </c>
      <c r="Q48" s="7" t="s">
        <v>25</v>
      </c>
      <c r="R48" s="7" t="s">
        <v>26</v>
      </c>
      <c r="S48" s="7">
        <f t="shared" si="0"/>
        <v>2024</v>
      </c>
      <c r="T48" s="7" t="str">
        <f t="shared" si="1"/>
        <v>may</v>
      </c>
      <c r="U48" s="15">
        <f t="shared" si="2"/>
        <v>45413</v>
      </c>
    </row>
    <row r="49" spans="1:21" x14ac:dyDescent="0.25">
      <c r="A49" s="7">
        <v>48</v>
      </c>
      <c r="B49" s="8">
        <v>45701</v>
      </c>
      <c r="C49" s="7" t="s">
        <v>18</v>
      </c>
      <c r="D49" s="7" t="s">
        <v>55</v>
      </c>
      <c r="E49" s="7" t="s">
        <v>51</v>
      </c>
      <c r="F49" s="7" t="s">
        <v>21</v>
      </c>
      <c r="G49" s="7" t="s">
        <v>36</v>
      </c>
      <c r="H49" s="7" t="s">
        <v>37</v>
      </c>
      <c r="I49" s="7" t="s">
        <v>38</v>
      </c>
      <c r="J49" s="7">
        <v>1</v>
      </c>
      <c r="K49" s="9">
        <v>520000</v>
      </c>
      <c r="L49" s="9">
        <v>365000</v>
      </c>
      <c r="M49" s="9">
        <v>520000</v>
      </c>
      <c r="N49" s="9">
        <v>365000</v>
      </c>
      <c r="O49" s="9">
        <v>155000</v>
      </c>
      <c r="P49" s="10">
        <v>0.29807692307692307</v>
      </c>
      <c r="Q49" s="7" t="s">
        <v>39</v>
      </c>
      <c r="R49" s="7" t="s">
        <v>26</v>
      </c>
      <c r="S49" s="7">
        <f t="shared" si="0"/>
        <v>2025</v>
      </c>
      <c r="T49" s="7" t="str">
        <f t="shared" si="1"/>
        <v>feb</v>
      </c>
      <c r="U49" s="15">
        <f t="shared" si="2"/>
        <v>45689</v>
      </c>
    </row>
    <row r="50" spans="1:21" x14ac:dyDescent="0.25">
      <c r="A50" s="7">
        <v>49</v>
      </c>
      <c r="B50" s="8">
        <v>45330</v>
      </c>
      <c r="C50" s="7" t="s">
        <v>18</v>
      </c>
      <c r="D50" s="7" t="s">
        <v>40</v>
      </c>
      <c r="E50" s="7" t="s">
        <v>35</v>
      </c>
      <c r="F50" s="7" t="s">
        <v>21</v>
      </c>
      <c r="G50" s="7" t="s">
        <v>30</v>
      </c>
      <c r="H50" s="7" t="s">
        <v>31</v>
      </c>
      <c r="I50" s="7" t="s">
        <v>32</v>
      </c>
      <c r="J50" s="7">
        <v>1</v>
      </c>
      <c r="K50" s="9">
        <v>185000</v>
      </c>
      <c r="L50" s="9">
        <v>108000</v>
      </c>
      <c r="M50" s="9">
        <v>185000</v>
      </c>
      <c r="N50" s="9">
        <v>108000</v>
      </c>
      <c r="O50" s="9">
        <v>77000</v>
      </c>
      <c r="P50" s="10">
        <v>0.41621621621621618</v>
      </c>
      <c r="Q50" s="7" t="s">
        <v>33</v>
      </c>
      <c r="R50" s="7" t="s">
        <v>26</v>
      </c>
      <c r="S50" s="7">
        <f t="shared" si="0"/>
        <v>2024</v>
      </c>
      <c r="T50" s="7" t="str">
        <f t="shared" si="1"/>
        <v>feb</v>
      </c>
      <c r="U50" s="15">
        <f t="shared" si="2"/>
        <v>45323</v>
      </c>
    </row>
    <row r="51" spans="1:21" x14ac:dyDescent="0.25">
      <c r="A51" s="7">
        <v>50</v>
      </c>
      <c r="B51" s="8">
        <v>45875</v>
      </c>
      <c r="C51" s="7" t="s">
        <v>18</v>
      </c>
      <c r="D51" s="7" t="s">
        <v>28</v>
      </c>
      <c r="E51" s="7" t="s">
        <v>29</v>
      </c>
      <c r="F51" s="7" t="s">
        <v>45</v>
      </c>
      <c r="G51" s="7" t="s">
        <v>56</v>
      </c>
      <c r="H51" s="7" t="s">
        <v>57</v>
      </c>
      <c r="I51" s="7" t="s">
        <v>58</v>
      </c>
      <c r="J51" s="7">
        <v>2</v>
      </c>
      <c r="K51" s="9">
        <v>220000</v>
      </c>
      <c r="L51" s="9">
        <v>145000</v>
      </c>
      <c r="M51" s="9">
        <v>440000</v>
      </c>
      <c r="N51" s="9">
        <v>290000</v>
      </c>
      <c r="O51" s="9">
        <v>150000</v>
      </c>
      <c r="P51" s="10">
        <v>0.34090909090909088</v>
      </c>
      <c r="Q51" s="7" t="s">
        <v>25</v>
      </c>
      <c r="R51" s="7" t="s">
        <v>26</v>
      </c>
      <c r="S51" s="7">
        <f t="shared" si="0"/>
        <v>2025</v>
      </c>
      <c r="T51" s="7" t="str">
        <f t="shared" si="1"/>
        <v>ago</v>
      </c>
      <c r="U51" s="15">
        <f t="shared" si="2"/>
        <v>45870</v>
      </c>
    </row>
    <row r="52" spans="1:21" x14ac:dyDescent="0.25">
      <c r="A52" s="7">
        <v>51</v>
      </c>
      <c r="B52" s="8">
        <v>45335</v>
      </c>
      <c r="C52" s="7" t="s">
        <v>27</v>
      </c>
      <c r="D52" s="7" t="s">
        <v>50</v>
      </c>
      <c r="E52" s="7" t="s">
        <v>51</v>
      </c>
      <c r="F52" s="7" t="s">
        <v>45</v>
      </c>
      <c r="G52" s="7" t="s">
        <v>52</v>
      </c>
      <c r="H52" s="7" t="s">
        <v>53</v>
      </c>
      <c r="I52" s="7" t="s">
        <v>54</v>
      </c>
      <c r="J52" s="7">
        <v>3</v>
      </c>
      <c r="K52" s="9">
        <v>310000</v>
      </c>
      <c r="L52" s="9">
        <v>210000</v>
      </c>
      <c r="M52" s="9">
        <v>930000</v>
      </c>
      <c r="N52" s="9">
        <v>630000</v>
      </c>
      <c r="O52" s="9">
        <v>300000</v>
      </c>
      <c r="P52" s="10">
        <v>0.32258064516129031</v>
      </c>
      <c r="Q52" s="7" t="s">
        <v>41</v>
      </c>
      <c r="R52" s="7" t="s">
        <v>26</v>
      </c>
      <c r="S52" s="7">
        <f t="shared" si="0"/>
        <v>2024</v>
      </c>
      <c r="T52" s="7" t="str">
        <f t="shared" si="1"/>
        <v>feb</v>
      </c>
      <c r="U52" s="15">
        <f t="shared" si="2"/>
        <v>45323</v>
      </c>
    </row>
    <row r="53" spans="1:21" x14ac:dyDescent="0.25">
      <c r="A53" s="7">
        <v>52</v>
      </c>
      <c r="B53" s="8">
        <v>45774</v>
      </c>
      <c r="C53" s="7" t="s">
        <v>18</v>
      </c>
      <c r="D53" s="7" t="s">
        <v>34</v>
      </c>
      <c r="E53" s="7" t="s">
        <v>35</v>
      </c>
      <c r="F53" s="7" t="s">
        <v>45</v>
      </c>
      <c r="G53" s="7" t="s">
        <v>43</v>
      </c>
      <c r="H53" s="7" t="s">
        <v>37</v>
      </c>
      <c r="I53" s="7" t="s">
        <v>44</v>
      </c>
      <c r="J53" s="7">
        <v>4</v>
      </c>
      <c r="K53" s="9">
        <v>115000</v>
      </c>
      <c r="L53" s="9">
        <v>68000</v>
      </c>
      <c r="M53" s="9">
        <v>460000</v>
      </c>
      <c r="N53" s="9">
        <v>272000</v>
      </c>
      <c r="O53" s="9">
        <v>188000</v>
      </c>
      <c r="P53" s="10">
        <v>0.40869565217391313</v>
      </c>
      <c r="Q53" s="7" t="s">
        <v>41</v>
      </c>
      <c r="R53" s="7" t="s">
        <v>26</v>
      </c>
      <c r="S53" s="7">
        <f t="shared" si="0"/>
        <v>2025</v>
      </c>
      <c r="T53" s="7" t="str">
        <f t="shared" si="1"/>
        <v>abr</v>
      </c>
      <c r="U53" s="15">
        <f t="shared" si="2"/>
        <v>45748</v>
      </c>
    </row>
    <row r="54" spans="1:21" x14ac:dyDescent="0.25">
      <c r="A54" s="7">
        <v>53</v>
      </c>
      <c r="B54" s="8">
        <v>45744</v>
      </c>
      <c r="C54" s="7" t="s">
        <v>18</v>
      </c>
      <c r="D54" s="7" t="s">
        <v>40</v>
      </c>
      <c r="E54" s="7" t="s">
        <v>35</v>
      </c>
      <c r="F54" s="7" t="s">
        <v>45</v>
      </c>
      <c r="G54" s="7" t="s">
        <v>36</v>
      </c>
      <c r="H54" s="7" t="s">
        <v>37</v>
      </c>
      <c r="I54" s="7" t="s">
        <v>38</v>
      </c>
      <c r="J54" s="7">
        <v>3</v>
      </c>
      <c r="K54" s="9">
        <v>185000</v>
      </c>
      <c r="L54" s="9">
        <v>108000</v>
      </c>
      <c r="M54" s="9">
        <v>555000</v>
      </c>
      <c r="N54" s="9">
        <v>324000</v>
      </c>
      <c r="O54" s="9">
        <v>231000</v>
      </c>
      <c r="P54" s="10">
        <v>0.41621621621621618</v>
      </c>
      <c r="Q54" s="7" t="s">
        <v>33</v>
      </c>
      <c r="R54" s="7" t="s">
        <v>26</v>
      </c>
      <c r="S54" s="7">
        <f t="shared" si="0"/>
        <v>2025</v>
      </c>
      <c r="T54" s="7" t="str">
        <f t="shared" si="1"/>
        <v>mar</v>
      </c>
      <c r="U54" s="15">
        <f t="shared" si="2"/>
        <v>45717</v>
      </c>
    </row>
    <row r="55" spans="1:21" x14ac:dyDescent="0.25">
      <c r="A55" s="7">
        <v>54</v>
      </c>
      <c r="B55" s="8">
        <v>45641</v>
      </c>
      <c r="C55" s="7" t="s">
        <v>18</v>
      </c>
      <c r="D55" s="7" t="s">
        <v>19</v>
      </c>
      <c r="E55" s="7" t="s">
        <v>20</v>
      </c>
      <c r="F55" s="7" t="s">
        <v>21</v>
      </c>
      <c r="G55" s="7" t="s">
        <v>59</v>
      </c>
      <c r="H55" s="7" t="s">
        <v>31</v>
      </c>
      <c r="I55" s="7" t="s">
        <v>60</v>
      </c>
      <c r="J55" s="7">
        <v>1</v>
      </c>
      <c r="K55" s="9">
        <v>24000</v>
      </c>
      <c r="L55" s="9">
        <v>9500</v>
      </c>
      <c r="M55" s="9">
        <v>24000</v>
      </c>
      <c r="N55" s="9">
        <v>9500</v>
      </c>
      <c r="O55" s="9">
        <v>14500</v>
      </c>
      <c r="P55" s="10">
        <v>0.60416666666666663</v>
      </c>
      <c r="Q55" s="7" t="s">
        <v>41</v>
      </c>
      <c r="R55" s="7" t="s">
        <v>26</v>
      </c>
      <c r="S55" s="7">
        <f t="shared" si="0"/>
        <v>2024</v>
      </c>
      <c r="T55" s="7" t="str">
        <f t="shared" si="1"/>
        <v>dic</v>
      </c>
      <c r="U55" s="15">
        <f t="shared" si="2"/>
        <v>45627</v>
      </c>
    </row>
    <row r="56" spans="1:21" x14ac:dyDescent="0.25">
      <c r="A56" s="7">
        <v>55</v>
      </c>
      <c r="B56" s="8">
        <v>45915</v>
      </c>
      <c r="C56" s="7" t="s">
        <v>27</v>
      </c>
      <c r="D56" s="7" t="s">
        <v>50</v>
      </c>
      <c r="E56" s="7" t="s">
        <v>51</v>
      </c>
      <c r="F56" s="7" t="s">
        <v>21</v>
      </c>
      <c r="G56" s="7" t="s">
        <v>56</v>
      </c>
      <c r="H56" s="7" t="s">
        <v>57</v>
      </c>
      <c r="I56" s="7" t="s">
        <v>58</v>
      </c>
      <c r="J56" s="7">
        <v>3</v>
      </c>
      <c r="K56" s="9">
        <v>310000</v>
      </c>
      <c r="L56" s="9">
        <v>210000</v>
      </c>
      <c r="M56" s="9">
        <v>930000</v>
      </c>
      <c r="N56" s="9">
        <v>630000</v>
      </c>
      <c r="O56" s="9">
        <v>300000</v>
      </c>
      <c r="P56" s="10">
        <v>0.32258064516129031</v>
      </c>
      <c r="Q56" s="7" t="s">
        <v>39</v>
      </c>
      <c r="R56" s="7" t="s">
        <v>26</v>
      </c>
      <c r="S56" s="7">
        <f t="shared" si="0"/>
        <v>2025</v>
      </c>
      <c r="T56" s="7" t="str">
        <f t="shared" si="1"/>
        <v>sept</v>
      </c>
      <c r="U56" s="15">
        <f t="shared" si="2"/>
        <v>45901</v>
      </c>
    </row>
    <row r="57" spans="1:21" x14ac:dyDescent="0.25">
      <c r="A57" s="7">
        <v>56</v>
      </c>
      <c r="B57" s="8">
        <v>45974</v>
      </c>
      <c r="C57" s="7" t="s">
        <v>27</v>
      </c>
      <c r="D57" s="7" t="s">
        <v>42</v>
      </c>
      <c r="E57" s="7" t="s">
        <v>29</v>
      </c>
      <c r="F57" s="7" t="s">
        <v>45</v>
      </c>
      <c r="G57" s="7" t="s">
        <v>36</v>
      </c>
      <c r="H57" s="7" t="s">
        <v>37</v>
      </c>
      <c r="I57" s="7" t="s">
        <v>38</v>
      </c>
      <c r="J57" s="7">
        <v>4</v>
      </c>
      <c r="K57" s="9">
        <v>780000</v>
      </c>
      <c r="L57" s="9">
        <v>590000</v>
      </c>
      <c r="M57" s="9">
        <v>3120000</v>
      </c>
      <c r="N57" s="9">
        <v>2360000</v>
      </c>
      <c r="O57" s="9">
        <v>760000</v>
      </c>
      <c r="P57" s="10">
        <v>0.24358974358974361</v>
      </c>
      <c r="Q57" s="7" t="s">
        <v>39</v>
      </c>
      <c r="R57" s="7" t="s">
        <v>26</v>
      </c>
      <c r="S57" s="7">
        <f t="shared" si="0"/>
        <v>2025</v>
      </c>
      <c r="T57" s="7" t="str">
        <f t="shared" si="1"/>
        <v>nov</v>
      </c>
      <c r="U57" s="15">
        <f t="shared" si="2"/>
        <v>45962</v>
      </c>
    </row>
    <row r="58" spans="1:21" x14ac:dyDescent="0.25">
      <c r="A58" s="7">
        <v>57</v>
      </c>
      <c r="B58" s="8">
        <v>45924</v>
      </c>
      <c r="C58" s="7" t="s">
        <v>18</v>
      </c>
      <c r="D58" s="7" t="s">
        <v>49</v>
      </c>
      <c r="E58" s="7" t="s">
        <v>20</v>
      </c>
      <c r="F58" s="7" t="s">
        <v>21</v>
      </c>
      <c r="G58" s="7" t="s">
        <v>36</v>
      </c>
      <c r="H58" s="7" t="s">
        <v>37</v>
      </c>
      <c r="I58" s="7" t="s">
        <v>38</v>
      </c>
      <c r="J58" s="7">
        <v>2</v>
      </c>
      <c r="K58" s="9">
        <v>45000</v>
      </c>
      <c r="L58" s="9">
        <v>21000</v>
      </c>
      <c r="M58" s="9">
        <v>90000</v>
      </c>
      <c r="N58" s="9">
        <v>42000</v>
      </c>
      <c r="O58" s="9">
        <v>48000</v>
      </c>
      <c r="P58" s="10">
        <v>0.53333333333333333</v>
      </c>
      <c r="Q58" s="7" t="s">
        <v>25</v>
      </c>
      <c r="R58" s="7" t="s">
        <v>26</v>
      </c>
      <c r="S58" s="7">
        <f t="shared" si="0"/>
        <v>2025</v>
      </c>
      <c r="T58" s="7" t="str">
        <f t="shared" si="1"/>
        <v>sept</v>
      </c>
      <c r="U58" s="15">
        <f t="shared" si="2"/>
        <v>45901</v>
      </c>
    </row>
    <row r="59" spans="1:21" x14ac:dyDescent="0.25">
      <c r="A59" s="7">
        <v>58</v>
      </c>
      <c r="B59" s="8">
        <v>45452</v>
      </c>
      <c r="C59" s="7" t="s">
        <v>27</v>
      </c>
      <c r="D59" s="7" t="s">
        <v>50</v>
      </c>
      <c r="E59" s="7" t="s">
        <v>51</v>
      </c>
      <c r="F59" s="7" t="s">
        <v>45</v>
      </c>
      <c r="G59" s="7" t="s">
        <v>59</v>
      </c>
      <c r="H59" s="7" t="s">
        <v>31</v>
      </c>
      <c r="I59" s="7" t="s">
        <v>60</v>
      </c>
      <c r="J59" s="7">
        <v>2</v>
      </c>
      <c r="K59" s="9">
        <v>310000</v>
      </c>
      <c r="L59" s="9">
        <v>210000</v>
      </c>
      <c r="M59" s="9">
        <v>620000</v>
      </c>
      <c r="N59" s="9">
        <v>420000</v>
      </c>
      <c r="O59" s="9">
        <v>200000</v>
      </c>
      <c r="P59" s="10">
        <v>0.32258064516129031</v>
      </c>
      <c r="Q59" s="7" t="s">
        <v>25</v>
      </c>
      <c r="R59" s="7" t="s">
        <v>26</v>
      </c>
      <c r="S59" s="7">
        <f t="shared" si="0"/>
        <v>2024</v>
      </c>
      <c r="T59" s="7" t="str">
        <f t="shared" si="1"/>
        <v>jun</v>
      </c>
      <c r="U59" s="15">
        <f t="shared" si="2"/>
        <v>45444</v>
      </c>
    </row>
    <row r="60" spans="1:21" x14ac:dyDescent="0.25">
      <c r="A60" s="7">
        <v>59</v>
      </c>
      <c r="B60" s="8">
        <v>45966</v>
      </c>
      <c r="C60" s="7" t="s">
        <v>18</v>
      </c>
      <c r="D60" s="7" t="s">
        <v>50</v>
      </c>
      <c r="E60" s="7" t="s">
        <v>51</v>
      </c>
      <c r="F60" s="7" t="s">
        <v>21</v>
      </c>
      <c r="G60" s="7" t="s">
        <v>43</v>
      </c>
      <c r="H60" s="7" t="s">
        <v>37</v>
      </c>
      <c r="I60" s="7" t="s">
        <v>44</v>
      </c>
      <c r="J60" s="7">
        <v>2</v>
      </c>
      <c r="K60" s="9">
        <v>310000</v>
      </c>
      <c r="L60" s="9">
        <v>210000</v>
      </c>
      <c r="M60" s="9">
        <v>620000</v>
      </c>
      <c r="N60" s="9">
        <v>420000</v>
      </c>
      <c r="O60" s="9">
        <v>200000</v>
      </c>
      <c r="P60" s="10">
        <v>0.32258064516129031</v>
      </c>
      <c r="Q60" s="7" t="s">
        <v>25</v>
      </c>
      <c r="R60" s="7" t="s">
        <v>26</v>
      </c>
      <c r="S60" s="7">
        <f t="shared" si="0"/>
        <v>2025</v>
      </c>
      <c r="T60" s="7" t="str">
        <f t="shared" si="1"/>
        <v>nov</v>
      </c>
      <c r="U60" s="15">
        <f t="shared" si="2"/>
        <v>45962</v>
      </c>
    </row>
    <row r="61" spans="1:21" x14ac:dyDescent="0.25">
      <c r="A61" s="7">
        <v>60</v>
      </c>
      <c r="B61" s="8">
        <v>45975</v>
      </c>
      <c r="C61" s="7" t="s">
        <v>18</v>
      </c>
      <c r="D61" s="7" t="s">
        <v>19</v>
      </c>
      <c r="E61" s="7" t="s">
        <v>20</v>
      </c>
      <c r="F61" s="7" t="s">
        <v>21</v>
      </c>
      <c r="G61" s="7" t="s">
        <v>46</v>
      </c>
      <c r="H61" s="7" t="s">
        <v>47</v>
      </c>
      <c r="I61" s="7" t="s">
        <v>48</v>
      </c>
      <c r="J61" s="7">
        <v>4</v>
      </c>
      <c r="K61" s="9">
        <v>24000</v>
      </c>
      <c r="L61" s="9">
        <v>9500</v>
      </c>
      <c r="M61" s="9">
        <v>96000</v>
      </c>
      <c r="N61" s="9">
        <v>38000</v>
      </c>
      <c r="O61" s="9">
        <v>58000</v>
      </c>
      <c r="P61" s="10">
        <v>0.60416666666666663</v>
      </c>
      <c r="Q61" s="7" t="s">
        <v>25</v>
      </c>
      <c r="R61" s="7" t="s">
        <v>26</v>
      </c>
      <c r="S61" s="7">
        <f t="shared" si="0"/>
        <v>2025</v>
      </c>
      <c r="T61" s="7" t="str">
        <f t="shared" si="1"/>
        <v>nov</v>
      </c>
      <c r="U61" s="15">
        <f t="shared" si="2"/>
        <v>45962</v>
      </c>
    </row>
    <row r="62" spans="1:21" x14ac:dyDescent="0.25">
      <c r="A62" s="7">
        <v>61</v>
      </c>
      <c r="B62" s="8">
        <v>45948</v>
      </c>
      <c r="C62" s="7" t="s">
        <v>27</v>
      </c>
      <c r="D62" s="7" t="s">
        <v>55</v>
      </c>
      <c r="E62" s="7" t="s">
        <v>51</v>
      </c>
      <c r="F62" s="7" t="s">
        <v>21</v>
      </c>
      <c r="G62" s="7" t="s">
        <v>52</v>
      </c>
      <c r="H62" s="7" t="s">
        <v>53</v>
      </c>
      <c r="I62" s="7" t="s">
        <v>54</v>
      </c>
      <c r="J62" s="7">
        <v>4</v>
      </c>
      <c r="K62" s="9">
        <v>520000</v>
      </c>
      <c r="L62" s="9">
        <v>365000</v>
      </c>
      <c r="M62" s="9">
        <v>2080000</v>
      </c>
      <c r="N62" s="9">
        <v>1460000</v>
      </c>
      <c r="O62" s="9">
        <v>620000</v>
      </c>
      <c r="P62" s="10">
        <v>0.29807692307692307</v>
      </c>
      <c r="Q62" s="7" t="s">
        <v>39</v>
      </c>
      <c r="R62" s="7" t="s">
        <v>26</v>
      </c>
      <c r="S62" s="7">
        <f t="shared" si="0"/>
        <v>2025</v>
      </c>
      <c r="T62" s="7" t="str">
        <f t="shared" si="1"/>
        <v>oct</v>
      </c>
      <c r="U62" s="15">
        <f t="shared" si="2"/>
        <v>45931</v>
      </c>
    </row>
    <row r="63" spans="1:21" x14ac:dyDescent="0.25">
      <c r="A63" s="7">
        <v>62</v>
      </c>
      <c r="B63" s="8">
        <v>45695</v>
      </c>
      <c r="C63" s="7" t="s">
        <v>27</v>
      </c>
      <c r="D63" s="7" t="s">
        <v>50</v>
      </c>
      <c r="E63" s="7" t="s">
        <v>51</v>
      </c>
      <c r="F63" s="7" t="s">
        <v>21</v>
      </c>
      <c r="G63" s="7" t="s">
        <v>43</v>
      </c>
      <c r="H63" s="7" t="s">
        <v>37</v>
      </c>
      <c r="I63" s="7" t="s">
        <v>44</v>
      </c>
      <c r="J63" s="7">
        <v>1</v>
      </c>
      <c r="K63" s="9">
        <v>310000</v>
      </c>
      <c r="L63" s="9">
        <v>210000</v>
      </c>
      <c r="M63" s="9">
        <v>310000</v>
      </c>
      <c r="N63" s="9">
        <v>210000</v>
      </c>
      <c r="O63" s="9">
        <v>100000</v>
      </c>
      <c r="P63" s="10">
        <v>0.32258064516129031</v>
      </c>
      <c r="Q63" s="7" t="s">
        <v>41</v>
      </c>
      <c r="R63" s="7" t="s">
        <v>26</v>
      </c>
      <c r="S63" s="7">
        <f t="shared" si="0"/>
        <v>2025</v>
      </c>
      <c r="T63" s="7" t="str">
        <f t="shared" si="1"/>
        <v>feb</v>
      </c>
      <c r="U63" s="15">
        <f t="shared" si="2"/>
        <v>45689</v>
      </c>
    </row>
    <row r="64" spans="1:21" x14ac:dyDescent="0.25">
      <c r="A64" s="7">
        <v>63</v>
      </c>
      <c r="B64" s="8">
        <v>45967</v>
      </c>
      <c r="C64" s="7" t="s">
        <v>18</v>
      </c>
      <c r="D64" s="7" t="s">
        <v>19</v>
      </c>
      <c r="E64" s="7" t="s">
        <v>20</v>
      </c>
      <c r="F64" s="7" t="s">
        <v>21</v>
      </c>
      <c r="G64" s="7" t="s">
        <v>36</v>
      </c>
      <c r="H64" s="7" t="s">
        <v>37</v>
      </c>
      <c r="I64" s="7" t="s">
        <v>38</v>
      </c>
      <c r="J64" s="7">
        <v>1</v>
      </c>
      <c r="K64" s="9">
        <v>24000</v>
      </c>
      <c r="L64" s="9">
        <v>9500</v>
      </c>
      <c r="M64" s="9">
        <v>24000</v>
      </c>
      <c r="N64" s="9">
        <v>9500</v>
      </c>
      <c r="O64" s="9">
        <v>14500</v>
      </c>
      <c r="P64" s="10">
        <v>0.60416666666666663</v>
      </c>
      <c r="Q64" s="7" t="s">
        <v>33</v>
      </c>
      <c r="R64" s="7" t="s">
        <v>26</v>
      </c>
      <c r="S64" s="7">
        <f t="shared" si="0"/>
        <v>2025</v>
      </c>
      <c r="T64" s="7" t="str">
        <f t="shared" si="1"/>
        <v>nov</v>
      </c>
      <c r="U64" s="15">
        <f t="shared" si="2"/>
        <v>45962</v>
      </c>
    </row>
    <row r="65" spans="1:21" x14ac:dyDescent="0.25">
      <c r="A65" s="7">
        <v>64</v>
      </c>
      <c r="B65" s="8">
        <v>45529</v>
      </c>
      <c r="C65" s="7" t="s">
        <v>18</v>
      </c>
      <c r="D65" s="7" t="s">
        <v>42</v>
      </c>
      <c r="E65" s="7" t="s">
        <v>29</v>
      </c>
      <c r="F65" s="7" t="s">
        <v>21</v>
      </c>
      <c r="G65" s="7" t="s">
        <v>36</v>
      </c>
      <c r="H65" s="7" t="s">
        <v>37</v>
      </c>
      <c r="I65" s="7" t="s">
        <v>38</v>
      </c>
      <c r="J65" s="7">
        <v>2</v>
      </c>
      <c r="K65" s="9">
        <v>780000</v>
      </c>
      <c r="L65" s="9">
        <v>590000</v>
      </c>
      <c r="M65" s="9">
        <v>1560000</v>
      </c>
      <c r="N65" s="9">
        <v>1180000</v>
      </c>
      <c r="O65" s="9">
        <v>380000</v>
      </c>
      <c r="P65" s="10">
        <v>0.24358974358974361</v>
      </c>
      <c r="Q65" s="7" t="s">
        <v>39</v>
      </c>
      <c r="R65" s="7" t="s">
        <v>26</v>
      </c>
      <c r="S65" s="7">
        <f t="shared" si="0"/>
        <v>2024</v>
      </c>
      <c r="T65" s="7" t="str">
        <f t="shared" si="1"/>
        <v>ago</v>
      </c>
      <c r="U65" s="15">
        <f t="shared" si="2"/>
        <v>45505</v>
      </c>
    </row>
    <row r="66" spans="1:21" x14ac:dyDescent="0.25">
      <c r="A66" s="7">
        <v>65</v>
      </c>
      <c r="B66" s="8">
        <v>45361</v>
      </c>
      <c r="C66" s="7" t="s">
        <v>27</v>
      </c>
      <c r="D66" s="7" t="s">
        <v>50</v>
      </c>
      <c r="E66" s="7" t="s">
        <v>51</v>
      </c>
      <c r="F66" s="7" t="s">
        <v>21</v>
      </c>
      <c r="G66" s="7" t="s">
        <v>46</v>
      </c>
      <c r="H66" s="7" t="s">
        <v>47</v>
      </c>
      <c r="I66" s="7" t="s">
        <v>48</v>
      </c>
      <c r="J66" s="7">
        <v>3</v>
      </c>
      <c r="K66" s="9">
        <v>310000</v>
      </c>
      <c r="L66" s="9">
        <v>210000</v>
      </c>
      <c r="M66" s="9">
        <v>930000</v>
      </c>
      <c r="N66" s="9">
        <v>630000</v>
      </c>
      <c r="O66" s="9">
        <v>300000</v>
      </c>
      <c r="P66" s="10">
        <v>0.32258064516129031</v>
      </c>
      <c r="Q66" s="7" t="s">
        <v>33</v>
      </c>
      <c r="R66" s="7" t="s">
        <v>26</v>
      </c>
      <c r="S66" s="7">
        <f t="shared" ref="S66:S129" si="3">YEAR(B66)</f>
        <v>2024</v>
      </c>
      <c r="T66" s="7" t="str">
        <f t="shared" ref="T66:T129" si="4">TEXT(B66,"mmm")</f>
        <v>mar</v>
      </c>
      <c r="U66" s="15">
        <f t="shared" ref="U66:U129" si="5">DATE(YEAR(B66),MONTH(B66),1)</f>
        <v>45352</v>
      </c>
    </row>
    <row r="67" spans="1:21" x14ac:dyDescent="0.25">
      <c r="A67" s="7">
        <v>66</v>
      </c>
      <c r="B67" s="8">
        <v>45862</v>
      </c>
      <c r="C67" s="7" t="s">
        <v>18</v>
      </c>
      <c r="D67" s="7" t="s">
        <v>62</v>
      </c>
      <c r="E67" s="7" t="s">
        <v>20</v>
      </c>
      <c r="F67" s="7" t="s">
        <v>21</v>
      </c>
      <c r="G67" s="7" t="s">
        <v>43</v>
      </c>
      <c r="H67" s="7" t="s">
        <v>37</v>
      </c>
      <c r="I67" s="7" t="s">
        <v>44</v>
      </c>
      <c r="J67" s="7">
        <v>3</v>
      </c>
      <c r="K67" s="9">
        <v>28000</v>
      </c>
      <c r="L67" s="9">
        <v>11000</v>
      </c>
      <c r="M67" s="9">
        <v>84000</v>
      </c>
      <c r="N67" s="9">
        <v>33000</v>
      </c>
      <c r="O67" s="9">
        <v>51000</v>
      </c>
      <c r="P67" s="10">
        <v>0.6071428571428571</v>
      </c>
      <c r="Q67" s="7" t="s">
        <v>41</v>
      </c>
      <c r="R67" s="7" t="s">
        <v>26</v>
      </c>
      <c r="S67" s="7">
        <f t="shared" si="3"/>
        <v>2025</v>
      </c>
      <c r="T67" s="7" t="str">
        <f t="shared" si="4"/>
        <v>jul</v>
      </c>
      <c r="U67" s="15">
        <f t="shared" si="5"/>
        <v>45839</v>
      </c>
    </row>
    <row r="68" spans="1:21" x14ac:dyDescent="0.25">
      <c r="A68" s="7">
        <v>67</v>
      </c>
      <c r="B68" s="8">
        <v>45470</v>
      </c>
      <c r="C68" s="7" t="s">
        <v>27</v>
      </c>
      <c r="D68" s="7" t="s">
        <v>49</v>
      </c>
      <c r="E68" s="7" t="s">
        <v>20</v>
      </c>
      <c r="F68" s="7" t="s">
        <v>45</v>
      </c>
      <c r="G68" s="7" t="s">
        <v>59</v>
      </c>
      <c r="H68" s="7" t="s">
        <v>31</v>
      </c>
      <c r="I68" s="7" t="s">
        <v>60</v>
      </c>
      <c r="J68" s="7">
        <v>4</v>
      </c>
      <c r="K68" s="9">
        <v>45000</v>
      </c>
      <c r="L68" s="9">
        <v>21000</v>
      </c>
      <c r="M68" s="9">
        <v>180000</v>
      </c>
      <c r="N68" s="9">
        <v>84000</v>
      </c>
      <c r="O68" s="9">
        <v>96000</v>
      </c>
      <c r="P68" s="10">
        <v>0.53333333333333333</v>
      </c>
      <c r="Q68" s="7" t="s">
        <v>25</v>
      </c>
      <c r="R68" s="7" t="s">
        <v>26</v>
      </c>
      <c r="S68" s="7">
        <f t="shared" si="3"/>
        <v>2024</v>
      </c>
      <c r="T68" s="7" t="str">
        <f t="shared" si="4"/>
        <v>jun</v>
      </c>
      <c r="U68" s="15">
        <f t="shared" si="5"/>
        <v>45444</v>
      </c>
    </row>
    <row r="69" spans="1:21" x14ac:dyDescent="0.25">
      <c r="A69" s="7">
        <v>68</v>
      </c>
      <c r="B69" s="8">
        <v>45383</v>
      </c>
      <c r="C69" s="7" t="s">
        <v>27</v>
      </c>
      <c r="D69" s="7" t="s">
        <v>42</v>
      </c>
      <c r="E69" s="7" t="s">
        <v>29</v>
      </c>
      <c r="F69" s="7" t="s">
        <v>45</v>
      </c>
      <c r="G69" s="7" t="s">
        <v>52</v>
      </c>
      <c r="H69" s="7" t="s">
        <v>53</v>
      </c>
      <c r="I69" s="7" t="s">
        <v>54</v>
      </c>
      <c r="J69" s="7">
        <v>4</v>
      </c>
      <c r="K69" s="9">
        <v>780000</v>
      </c>
      <c r="L69" s="9">
        <v>590000</v>
      </c>
      <c r="M69" s="9">
        <v>3120000</v>
      </c>
      <c r="N69" s="9">
        <v>2360000</v>
      </c>
      <c r="O69" s="9">
        <v>760000</v>
      </c>
      <c r="P69" s="10">
        <v>0.24358974358974361</v>
      </c>
      <c r="Q69" s="7" t="s">
        <v>25</v>
      </c>
      <c r="R69" s="7" t="s">
        <v>26</v>
      </c>
      <c r="S69" s="7">
        <f t="shared" si="3"/>
        <v>2024</v>
      </c>
      <c r="T69" s="7" t="str">
        <f t="shared" si="4"/>
        <v>abr</v>
      </c>
      <c r="U69" s="15">
        <f t="shared" si="5"/>
        <v>45383</v>
      </c>
    </row>
    <row r="70" spans="1:21" x14ac:dyDescent="0.25">
      <c r="A70" s="7">
        <v>69</v>
      </c>
      <c r="B70" s="8">
        <v>45453</v>
      </c>
      <c r="C70" s="7" t="s">
        <v>18</v>
      </c>
      <c r="D70" s="7" t="s">
        <v>50</v>
      </c>
      <c r="E70" s="7" t="s">
        <v>51</v>
      </c>
      <c r="F70" s="7" t="s">
        <v>45</v>
      </c>
      <c r="G70" s="7" t="s">
        <v>22</v>
      </c>
      <c r="H70" s="7" t="s">
        <v>23</v>
      </c>
      <c r="I70" s="7" t="s">
        <v>24</v>
      </c>
      <c r="J70" s="7">
        <v>2</v>
      </c>
      <c r="K70" s="9">
        <v>310000</v>
      </c>
      <c r="L70" s="9">
        <v>210000</v>
      </c>
      <c r="M70" s="9">
        <v>620000</v>
      </c>
      <c r="N70" s="9">
        <v>420000</v>
      </c>
      <c r="O70" s="9">
        <v>200000</v>
      </c>
      <c r="P70" s="10">
        <v>0.32258064516129031</v>
      </c>
      <c r="Q70" s="7" t="s">
        <v>39</v>
      </c>
      <c r="R70" s="7" t="s">
        <v>26</v>
      </c>
      <c r="S70" s="7">
        <f t="shared" si="3"/>
        <v>2024</v>
      </c>
      <c r="T70" s="7" t="str">
        <f t="shared" si="4"/>
        <v>jun</v>
      </c>
      <c r="U70" s="15">
        <f t="shared" si="5"/>
        <v>45444</v>
      </c>
    </row>
    <row r="71" spans="1:21" x14ac:dyDescent="0.25">
      <c r="A71" s="7">
        <v>70</v>
      </c>
      <c r="B71" s="8">
        <v>45311</v>
      </c>
      <c r="C71" s="7" t="s">
        <v>27</v>
      </c>
      <c r="D71" s="7" t="s">
        <v>50</v>
      </c>
      <c r="E71" s="7" t="s">
        <v>51</v>
      </c>
      <c r="F71" s="7" t="s">
        <v>21</v>
      </c>
      <c r="G71" s="7" t="s">
        <v>36</v>
      </c>
      <c r="H71" s="7" t="s">
        <v>37</v>
      </c>
      <c r="I71" s="7" t="s">
        <v>38</v>
      </c>
      <c r="J71" s="7">
        <v>1</v>
      </c>
      <c r="K71" s="9">
        <v>310000</v>
      </c>
      <c r="L71" s="9">
        <v>210000</v>
      </c>
      <c r="M71" s="9">
        <v>310000</v>
      </c>
      <c r="N71" s="9">
        <v>210000</v>
      </c>
      <c r="O71" s="9">
        <v>100000</v>
      </c>
      <c r="P71" s="10">
        <v>0.32258064516129031</v>
      </c>
      <c r="Q71" s="7" t="s">
        <v>39</v>
      </c>
      <c r="R71" s="7" t="s">
        <v>26</v>
      </c>
      <c r="S71" s="7">
        <f t="shared" si="3"/>
        <v>2024</v>
      </c>
      <c r="T71" s="7" t="str">
        <f t="shared" si="4"/>
        <v>ene</v>
      </c>
      <c r="U71" s="15">
        <f t="shared" si="5"/>
        <v>45292</v>
      </c>
    </row>
    <row r="72" spans="1:21" x14ac:dyDescent="0.25">
      <c r="A72" s="7">
        <v>71</v>
      </c>
      <c r="B72" s="8">
        <v>45352</v>
      </c>
      <c r="C72" s="7" t="s">
        <v>27</v>
      </c>
      <c r="D72" s="7" t="s">
        <v>61</v>
      </c>
      <c r="E72" s="7" t="s">
        <v>29</v>
      </c>
      <c r="F72" s="7" t="s">
        <v>45</v>
      </c>
      <c r="G72" s="7" t="s">
        <v>56</v>
      </c>
      <c r="H72" s="7" t="s">
        <v>57</v>
      </c>
      <c r="I72" s="7" t="s">
        <v>58</v>
      </c>
      <c r="J72" s="7">
        <v>1</v>
      </c>
      <c r="K72" s="9">
        <v>390000</v>
      </c>
      <c r="L72" s="9">
        <v>270000</v>
      </c>
      <c r="M72" s="9">
        <v>390000</v>
      </c>
      <c r="N72" s="9">
        <v>270000</v>
      </c>
      <c r="O72" s="9">
        <v>120000</v>
      </c>
      <c r="P72" s="10">
        <v>0.30769230769230771</v>
      </c>
      <c r="Q72" s="7" t="s">
        <v>25</v>
      </c>
      <c r="R72" s="7" t="s">
        <v>26</v>
      </c>
      <c r="S72" s="7">
        <f t="shared" si="3"/>
        <v>2024</v>
      </c>
      <c r="T72" s="7" t="str">
        <f t="shared" si="4"/>
        <v>mar</v>
      </c>
      <c r="U72" s="15">
        <f t="shared" si="5"/>
        <v>45352</v>
      </c>
    </row>
    <row r="73" spans="1:21" x14ac:dyDescent="0.25">
      <c r="A73" s="7">
        <v>72</v>
      </c>
      <c r="B73" s="8">
        <v>45593</v>
      </c>
      <c r="C73" s="7" t="s">
        <v>27</v>
      </c>
      <c r="D73" s="7" t="s">
        <v>61</v>
      </c>
      <c r="E73" s="7" t="s">
        <v>29</v>
      </c>
      <c r="F73" s="7" t="s">
        <v>45</v>
      </c>
      <c r="G73" s="7" t="s">
        <v>56</v>
      </c>
      <c r="H73" s="7" t="s">
        <v>57</v>
      </c>
      <c r="I73" s="7" t="s">
        <v>58</v>
      </c>
      <c r="J73" s="7">
        <v>1</v>
      </c>
      <c r="K73" s="9">
        <v>390000</v>
      </c>
      <c r="L73" s="9">
        <v>270000</v>
      </c>
      <c r="M73" s="9">
        <v>390000</v>
      </c>
      <c r="N73" s="9">
        <v>270000</v>
      </c>
      <c r="O73" s="9">
        <v>120000</v>
      </c>
      <c r="P73" s="10">
        <v>0.30769230769230771</v>
      </c>
      <c r="Q73" s="7" t="s">
        <v>41</v>
      </c>
      <c r="R73" s="7" t="s">
        <v>26</v>
      </c>
      <c r="S73" s="7">
        <f t="shared" si="3"/>
        <v>2024</v>
      </c>
      <c r="T73" s="7" t="str">
        <f t="shared" si="4"/>
        <v>oct</v>
      </c>
      <c r="U73" s="15">
        <f t="shared" si="5"/>
        <v>45566</v>
      </c>
    </row>
    <row r="74" spans="1:21" x14ac:dyDescent="0.25">
      <c r="A74" s="7">
        <v>73</v>
      </c>
      <c r="B74" s="8">
        <v>45670</v>
      </c>
      <c r="C74" s="7" t="s">
        <v>18</v>
      </c>
      <c r="D74" s="7" t="s">
        <v>61</v>
      </c>
      <c r="E74" s="7" t="s">
        <v>29</v>
      </c>
      <c r="F74" s="7" t="s">
        <v>45</v>
      </c>
      <c r="G74" s="7" t="s">
        <v>59</v>
      </c>
      <c r="H74" s="7" t="s">
        <v>31</v>
      </c>
      <c r="I74" s="7" t="s">
        <v>60</v>
      </c>
      <c r="J74" s="7">
        <v>3</v>
      </c>
      <c r="K74" s="9">
        <v>390000</v>
      </c>
      <c r="L74" s="9">
        <v>270000</v>
      </c>
      <c r="M74" s="9">
        <v>1170000</v>
      </c>
      <c r="N74" s="9">
        <v>810000</v>
      </c>
      <c r="O74" s="9">
        <v>360000</v>
      </c>
      <c r="P74" s="10">
        <v>0.30769230769230771</v>
      </c>
      <c r="Q74" s="7" t="s">
        <v>39</v>
      </c>
      <c r="R74" s="7" t="s">
        <v>26</v>
      </c>
      <c r="S74" s="7">
        <f t="shared" si="3"/>
        <v>2025</v>
      </c>
      <c r="T74" s="7" t="str">
        <f t="shared" si="4"/>
        <v>ene</v>
      </c>
      <c r="U74" s="15">
        <f t="shared" si="5"/>
        <v>45658</v>
      </c>
    </row>
    <row r="75" spans="1:21" x14ac:dyDescent="0.25">
      <c r="A75" s="7">
        <v>74</v>
      </c>
      <c r="B75" s="8">
        <v>45431</v>
      </c>
      <c r="C75" s="7" t="s">
        <v>18</v>
      </c>
      <c r="D75" s="7" t="s">
        <v>55</v>
      </c>
      <c r="E75" s="7" t="s">
        <v>51</v>
      </c>
      <c r="F75" s="7" t="s">
        <v>45</v>
      </c>
      <c r="G75" s="7" t="s">
        <v>36</v>
      </c>
      <c r="H75" s="7" t="s">
        <v>37</v>
      </c>
      <c r="I75" s="7" t="s">
        <v>38</v>
      </c>
      <c r="J75" s="7">
        <v>2</v>
      </c>
      <c r="K75" s="9">
        <v>520000</v>
      </c>
      <c r="L75" s="9">
        <v>365000</v>
      </c>
      <c r="M75" s="9">
        <v>1040000</v>
      </c>
      <c r="N75" s="9">
        <v>730000</v>
      </c>
      <c r="O75" s="9">
        <v>310000</v>
      </c>
      <c r="P75" s="10">
        <v>0.29807692307692307</v>
      </c>
      <c r="Q75" s="7" t="s">
        <v>33</v>
      </c>
      <c r="R75" s="7" t="s">
        <v>26</v>
      </c>
      <c r="S75" s="7">
        <f t="shared" si="3"/>
        <v>2024</v>
      </c>
      <c r="T75" s="7" t="str">
        <f t="shared" si="4"/>
        <v>may</v>
      </c>
      <c r="U75" s="15">
        <f t="shared" si="5"/>
        <v>45413</v>
      </c>
    </row>
    <row r="76" spans="1:21" x14ac:dyDescent="0.25">
      <c r="A76" s="7">
        <v>75</v>
      </c>
      <c r="B76" s="8">
        <v>45707</v>
      </c>
      <c r="C76" s="7" t="s">
        <v>18</v>
      </c>
      <c r="D76" s="7" t="s">
        <v>34</v>
      </c>
      <c r="E76" s="7" t="s">
        <v>35</v>
      </c>
      <c r="F76" s="7" t="s">
        <v>45</v>
      </c>
      <c r="G76" s="7" t="s">
        <v>30</v>
      </c>
      <c r="H76" s="7" t="s">
        <v>31</v>
      </c>
      <c r="I76" s="7" t="s">
        <v>32</v>
      </c>
      <c r="J76" s="7">
        <v>2</v>
      </c>
      <c r="K76" s="9">
        <v>115000</v>
      </c>
      <c r="L76" s="9">
        <v>68000</v>
      </c>
      <c r="M76" s="9">
        <v>230000</v>
      </c>
      <c r="N76" s="9">
        <v>136000</v>
      </c>
      <c r="O76" s="9">
        <v>94000</v>
      </c>
      <c r="P76" s="10">
        <v>0.40869565217391313</v>
      </c>
      <c r="Q76" s="7" t="s">
        <v>41</v>
      </c>
      <c r="R76" s="7" t="s">
        <v>26</v>
      </c>
      <c r="S76" s="7">
        <f t="shared" si="3"/>
        <v>2025</v>
      </c>
      <c r="T76" s="7" t="str">
        <f t="shared" si="4"/>
        <v>feb</v>
      </c>
      <c r="U76" s="15">
        <f t="shared" si="5"/>
        <v>45689</v>
      </c>
    </row>
    <row r="77" spans="1:21" x14ac:dyDescent="0.25">
      <c r="A77" s="7">
        <v>76</v>
      </c>
      <c r="B77" s="8">
        <v>45345</v>
      </c>
      <c r="C77" s="7" t="s">
        <v>27</v>
      </c>
      <c r="D77" s="7" t="s">
        <v>28</v>
      </c>
      <c r="E77" s="7" t="s">
        <v>29</v>
      </c>
      <c r="F77" s="7" t="s">
        <v>45</v>
      </c>
      <c r="G77" s="7" t="s">
        <v>52</v>
      </c>
      <c r="H77" s="7" t="s">
        <v>53</v>
      </c>
      <c r="I77" s="7" t="s">
        <v>54</v>
      </c>
      <c r="J77" s="7">
        <v>1</v>
      </c>
      <c r="K77" s="9">
        <v>220000</v>
      </c>
      <c r="L77" s="9">
        <v>145000</v>
      </c>
      <c r="M77" s="9">
        <v>220000</v>
      </c>
      <c r="N77" s="9">
        <v>145000</v>
      </c>
      <c r="O77" s="9">
        <v>75000</v>
      </c>
      <c r="P77" s="10">
        <v>0.34090909090909088</v>
      </c>
      <c r="Q77" s="7" t="s">
        <v>25</v>
      </c>
      <c r="R77" s="7" t="s">
        <v>26</v>
      </c>
      <c r="S77" s="7">
        <f t="shared" si="3"/>
        <v>2024</v>
      </c>
      <c r="T77" s="7" t="str">
        <f t="shared" si="4"/>
        <v>feb</v>
      </c>
      <c r="U77" s="15">
        <f t="shared" si="5"/>
        <v>45323</v>
      </c>
    </row>
    <row r="78" spans="1:21" x14ac:dyDescent="0.25">
      <c r="A78" s="7">
        <v>77</v>
      </c>
      <c r="B78" s="8">
        <v>45858</v>
      </c>
      <c r="C78" s="7" t="s">
        <v>27</v>
      </c>
      <c r="D78" s="7" t="s">
        <v>50</v>
      </c>
      <c r="E78" s="7" t="s">
        <v>51</v>
      </c>
      <c r="F78" s="7" t="s">
        <v>21</v>
      </c>
      <c r="G78" s="7" t="s">
        <v>43</v>
      </c>
      <c r="H78" s="7" t="s">
        <v>37</v>
      </c>
      <c r="I78" s="7" t="s">
        <v>44</v>
      </c>
      <c r="J78" s="7">
        <v>2</v>
      </c>
      <c r="K78" s="9">
        <v>310000</v>
      </c>
      <c r="L78" s="9">
        <v>210000</v>
      </c>
      <c r="M78" s="9">
        <v>620000</v>
      </c>
      <c r="N78" s="9">
        <v>420000</v>
      </c>
      <c r="O78" s="9">
        <v>200000</v>
      </c>
      <c r="P78" s="10">
        <v>0.32258064516129031</v>
      </c>
      <c r="Q78" s="7" t="s">
        <v>33</v>
      </c>
      <c r="R78" s="7" t="s">
        <v>26</v>
      </c>
      <c r="S78" s="7">
        <f t="shared" si="3"/>
        <v>2025</v>
      </c>
      <c r="T78" s="7" t="str">
        <f t="shared" si="4"/>
        <v>jul</v>
      </c>
      <c r="U78" s="15">
        <f t="shared" si="5"/>
        <v>45839</v>
      </c>
    </row>
    <row r="79" spans="1:21" x14ac:dyDescent="0.25">
      <c r="A79" s="7">
        <v>78</v>
      </c>
      <c r="B79" s="8">
        <v>45982</v>
      </c>
      <c r="C79" s="7" t="s">
        <v>18</v>
      </c>
      <c r="D79" s="7" t="s">
        <v>19</v>
      </c>
      <c r="E79" s="7" t="s">
        <v>20</v>
      </c>
      <c r="F79" s="7" t="s">
        <v>45</v>
      </c>
      <c r="G79" s="7" t="s">
        <v>46</v>
      </c>
      <c r="H79" s="7" t="s">
        <v>47</v>
      </c>
      <c r="I79" s="7" t="s">
        <v>48</v>
      </c>
      <c r="J79" s="7">
        <v>4</v>
      </c>
      <c r="K79" s="9">
        <v>24000</v>
      </c>
      <c r="L79" s="9">
        <v>9500</v>
      </c>
      <c r="M79" s="9">
        <v>96000</v>
      </c>
      <c r="N79" s="9">
        <v>38000</v>
      </c>
      <c r="O79" s="9">
        <v>58000</v>
      </c>
      <c r="P79" s="10">
        <v>0.60416666666666663</v>
      </c>
      <c r="Q79" s="7" t="s">
        <v>25</v>
      </c>
      <c r="R79" s="7" t="s">
        <v>26</v>
      </c>
      <c r="S79" s="7">
        <f t="shared" si="3"/>
        <v>2025</v>
      </c>
      <c r="T79" s="7" t="str">
        <f t="shared" si="4"/>
        <v>nov</v>
      </c>
      <c r="U79" s="15">
        <f t="shared" si="5"/>
        <v>45962</v>
      </c>
    </row>
    <row r="80" spans="1:21" x14ac:dyDescent="0.25">
      <c r="A80" s="7">
        <v>79</v>
      </c>
      <c r="B80" s="8">
        <v>45374</v>
      </c>
      <c r="C80" s="7" t="s">
        <v>18</v>
      </c>
      <c r="D80" s="7" t="s">
        <v>42</v>
      </c>
      <c r="E80" s="7" t="s">
        <v>29</v>
      </c>
      <c r="F80" s="7" t="s">
        <v>21</v>
      </c>
      <c r="G80" s="7" t="s">
        <v>22</v>
      </c>
      <c r="H80" s="7" t="s">
        <v>23</v>
      </c>
      <c r="I80" s="7" t="s">
        <v>24</v>
      </c>
      <c r="J80" s="7">
        <v>1</v>
      </c>
      <c r="K80" s="9">
        <v>780000</v>
      </c>
      <c r="L80" s="9">
        <v>590000</v>
      </c>
      <c r="M80" s="9">
        <v>780000</v>
      </c>
      <c r="N80" s="9">
        <v>590000</v>
      </c>
      <c r="O80" s="9">
        <v>190000</v>
      </c>
      <c r="P80" s="10">
        <v>0.24358974358974361</v>
      </c>
      <c r="Q80" s="7" t="s">
        <v>39</v>
      </c>
      <c r="R80" s="7" t="s">
        <v>26</v>
      </c>
      <c r="S80" s="7">
        <f t="shared" si="3"/>
        <v>2024</v>
      </c>
      <c r="T80" s="7" t="str">
        <f t="shared" si="4"/>
        <v>mar</v>
      </c>
      <c r="U80" s="15">
        <f t="shared" si="5"/>
        <v>45352</v>
      </c>
    </row>
    <row r="81" spans="1:21" x14ac:dyDescent="0.25">
      <c r="A81" s="7">
        <v>80</v>
      </c>
      <c r="B81" s="8">
        <v>45318</v>
      </c>
      <c r="C81" s="7" t="s">
        <v>18</v>
      </c>
      <c r="D81" s="7" t="s">
        <v>40</v>
      </c>
      <c r="E81" s="7" t="s">
        <v>35</v>
      </c>
      <c r="F81" s="7" t="s">
        <v>45</v>
      </c>
      <c r="G81" s="7" t="s">
        <v>22</v>
      </c>
      <c r="H81" s="7" t="s">
        <v>23</v>
      </c>
      <c r="I81" s="7" t="s">
        <v>24</v>
      </c>
      <c r="J81" s="7">
        <v>3</v>
      </c>
      <c r="K81" s="9">
        <v>185000</v>
      </c>
      <c r="L81" s="9">
        <v>108000</v>
      </c>
      <c r="M81" s="9">
        <v>555000</v>
      </c>
      <c r="N81" s="9">
        <v>324000</v>
      </c>
      <c r="O81" s="9">
        <v>231000</v>
      </c>
      <c r="P81" s="10">
        <v>0.41621621621621618</v>
      </c>
      <c r="Q81" s="7" t="s">
        <v>33</v>
      </c>
      <c r="R81" s="7" t="s">
        <v>26</v>
      </c>
      <c r="S81" s="7">
        <f t="shared" si="3"/>
        <v>2024</v>
      </c>
      <c r="T81" s="7" t="str">
        <f t="shared" si="4"/>
        <v>ene</v>
      </c>
      <c r="U81" s="15">
        <f t="shared" si="5"/>
        <v>45292</v>
      </c>
    </row>
    <row r="82" spans="1:21" x14ac:dyDescent="0.25">
      <c r="A82" s="7">
        <v>81</v>
      </c>
      <c r="B82" s="8">
        <v>45392</v>
      </c>
      <c r="C82" s="7" t="s">
        <v>27</v>
      </c>
      <c r="D82" s="7" t="s">
        <v>40</v>
      </c>
      <c r="E82" s="7" t="s">
        <v>35</v>
      </c>
      <c r="F82" s="7" t="s">
        <v>45</v>
      </c>
      <c r="G82" s="7" t="s">
        <v>22</v>
      </c>
      <c r="H82" s="7" t="s">
        <v>23</v>
      </c>
      <c r="I82" s="7" t="s">
        <v>24</v>
      </c>
      <c r="J82" s="7">
        <v>3</v>
      </c>
      <c r="K82" s="9">
        <v>185000</v>
      </c>
      <c r="L82" s="9">
        <v>108000</v>
      </c>
      <c r="M82" s="9">
        <v>555000</v>
      </c>
      <c r="N82" s="9">
        <v>324000</v>
      </c>
      <c r="O82" s="9">
        <v>231000</v>
      </c>
      <c r="P82" s="10">
        <v>0.41621621621621618</v>
      </c>
      <c r="Q82" s="7" t="s">
        <v>33</v>
      </c>
      <c r="R82" s="7" t="s">
        <v>26</v>
      </c>
      <c r="S82" s="7">
        <f t="shared" si="3"/>
        <v>2024</v>
      </c>
      <c r="T82" s="7" t="str">
        <f t="shared" si="4"/>
        <v>abr</v>
      </c>
      <c r="U82" s="15">
        <f t="shared" si="5"/>
        <v>45383</v>
      </c>
    </row>
    <row r="83" spans="1:21" x14ac:dyDescent="0.25">
      <c r="A83" s="7">
        <v>82</v>
      </c>
      <c r="B83" s="8">
        <v>45363</v>
      </c>
      <c r="C83" s="7" t="s">
        <v>18</v>
      </c>
      <c r="D83" s="7" t="s">
        <v>49</v>
      </c>
      <c r="E83" s="7" t="s">
        <v>20</v>
      </c>
      <c r="F83" s="7" t="s">
        <v>45</v>
      </c>
      <c r="G83" s="7" t="s">
        <v>56</v>
      </c>
      <c r="H83" s="7" t="s">
        <v>57</v>
      </c>
      <c r="I83" s="7" t="s">
        <v>58</v>
      </c>
      <c r="J83" s="7">
        <v>3</v>
      </c>
      <c r="K83" s="9">
        <v>45000</v>
      </c>
      <c r="L83" s="9">
        <v>21000</v>
      </c>
      <c r="M83" s="9">
        <v>135000</v>
      </c>
      <c r="N83" s="9">
        <v>63000</v>
      </c>
      <c r="O83" s="9">
        <v>72000</v>
      </c>
      <c r="P83" s="10">
        <v>0.53333333333333333</v>
      </c>
      <c r="Q83" s="7" t="s">
        <v>41</v>
      </c>
      <c r="R83" s="7" t="s">
        <v>26</v>
      </c>
      <c r="S83" s="7">
        <f t="shared" si="3"/>
        <v>2024</v>
      </c>
      <c r="T83" s="7" t="str">
        <f t="shared" si="4"/>
        <v>mar</v>
      </c>
      <c r="U83" s="15">
        <f t="shared" si="5"/>
        <v>45352</v>
      </c>
    </row>
    <row r="84" spans="1:21" x14ac:dyDescent="0.25">
      <c r="A84" s="7">
        <v>83</v>
      </c>
      <c r="B84" s="8">
        <v>45306</v>
      </c>
      <c r="C84" s="7" t="s">
        <v>27</v>
      </c>
      <c r="D84" s="7" t="s">
        <v>42</v>
      </c>
      <c r="E84" s="7" t="s">
        <v>29</v>
      </c>
      <c r="F84" s="7" t="s">
        <v>45</v>
      </c>
      <c r="G84" s="7" t="s">
        <v>59</v>
      </c>
      <c r="H84" s="7" t="s">
        <v>31</v>
      </c>
      <c r="I84" s="7" t="s">
        <v>60</v>
      </c>
      <c r="J84" s="7">
        <v>4</v>
      </c>
      <c r="K84" s="9">
        <v>780000</v>
      </c>
      <c r="L84" s="9">
        <v>590000</v>
      </c>
      <c r="M84" s="9">
        <v>3120000</v>
      </c>
      <c r="N84" s="9">
        <v>2360000</v>
      </c>
      <c r="O84" s="9">
        <v>760000</v>
      </c>
      <c r="P84" s="10">
        <v>0.24358974358974361</v>
      </c>
      <c r="Q84" s="7" t="s">
        <v>41</v>
      </c>
      <c r="R84" s="7" t="s">
        <v>26</v>
      </c>
      <c r="S84" s="7">
        <f t="shared" si="3"/>
        <v>2024</v>
      </c>
      <c r="T84" s="7" t="str">
        <f t="shared" si="4"/>
        <v>ene</v>
      </c>
      <c r="U84" s="15">
        <f t="shared" si="5"/>
        <v>45292</v>
      </c>
    </row>
    <row r="85" spans="1:21" x14ac:dyDescent="0.25">
      <c r="A85" s="7">
        <v>84</v>
      </c>
      <c r="B85" s="8">
        <v>45639</v>
      </c>
      <c r="C85" s="7" t="s">
        <v>27</v>
      </c>
      <c r="D85" s="7" t="s">
        <v>62</v>
      </c>
      <c r="E85" s="7" t="s">
        <v>20</v>
      </c>
      <c r="F85" s="7" t="s">
        <v>45</v>
      </c>
      <c r="G85" s="7" t="s">
        <v>52</v>
      </c>
      <c r="H85" s="7" t="s">
        <v>53</v>
      </c>
      <c r="I85" s="7" t="s">
        <v>54</v>
      </c>
      <c r="J85" s="7">
        <v>1</v>
      </c>
      <c r="K85" s="9">
        <v>28000</v>
      </c>
      <c r="L85" s="9">
        <v>11000</v>
      </c>
      <c r="M85" s="9">
        <v>28000</v>
      </c>
      <c r="N85" s="9">
        <v>11000</v>
      </c>
      <c r="O85" s="9">
        <v>17000</v>
      </c>
      <c r="P85" s="10">
        <v>0.6071428571428571</v>
      </c>
      <c r="Q85" s="7" t="s">
        <v>41</v>
      </c>
      <c r="R85" s="7" t="s">
        <v>26</v>
      </c>
      <c r="S85" s="7">
        <f t="shared" si="3"/>
        <v>2024</v>
      </c>
      <c r="T85" s="7" t="str">
        <f t="shared" si="4"/>
        <v>dic</v>
      </c>
      <c r="U85" s="15">
        <f t="shared" si="5"/>
        <v>45627</v>
      </c>
    </row>
    <row r="86" spans="1:21" x14ac:dyDescent="0.25">
      <c r="A86" s="7">
        <v>85</v>
      </c>
      <c r="B86" s="8">
        <v>45629</v>
      </c>
      <c r="C86" s="7" t="s">
        <v>27</v>
      </c>
      <c r="D86" s="7" t="s">
        <v>61</v>
      </c>
      <c r="E86" s="7" t="s">
        <v>29</v>
      </c>
      <c r="F86" s="7" t="s">
        <v>21</v>
      </c>
      <c r="G86" s="7" t="s">
        <v>43</v>
      </c>
      <c r="H86" s="7" t="s">
        <v>37</v>
      </c>
      <c r="I86" s="7" t="s">
        <v>44</v>
      </c>
      <c r="J86" s="7">
        <v>3</v>
      </c>
      <c r="K86" s="9">
        <v>390000</v>
      </c>
      <c r="L86" s="9">
        <v>270000</v>
      </c>
      <c r="M86" s="9">
        <v>1170000</v>
      </c>
      <c r="N86" s="9">
        <v>810000</v>
      </c>
      <c r="O86" s="9">
        <v>360000</v>
      </c>
      <c r="P86" s="10">
        <v>0.30769230769230771</v>
      </c>
      <c r="Q86" s="7" t="s">
        <v>25</v>
      </c>
      <c r="R86" s="7" t="s">
        <v>26</v>
      </c>
      <c r="S86" s="7">
        <f t="shared" si="3"/>
        <v>2024</v>
      </c>
      <c r="T86" s="7" t="str">
        <f t="shared" si="4"/>
        <v>dic</v>
      </c>
      <c r="U86" s="15">
        <f t="shared" si="5"/>
        <v>45627</v>
      </c>
    </row>
    <row r="87" spans="1:21" x14ac:dyDescent="0.25">
      <c r="A87" s="7">
        <v>86</v>
      </c>
      <c r="B87" s="8">
        <v>45311</v>
      </c>
      <c r="C87" s="7" t="s">
        <v>18</v>
      </c>
      <c r="D87" s="7" t="s">
        <v>19</v>
      </c>
      <c r="E87" s="7" t="s">
        <v>20</v>
      </c>
      <c r="F87" s="7" t="s">
        <v>21</v>
      </c>
      <c r="G87" s="7" t="s">
        <v>59</v>
      </c>
      <c r="H87" s="7" t="s">
        <v>31</v>
      </c>
      <c r="I87" s="7" t="s">
        <v>60</v>
      </c>
      <c r="J87" s="7">
        <v>2</v>
      </c>
      <c r="K87" s="9">
        <v>24000</v>
      </c>
      <c r="L87" s="9">
        <v>9500</v>
      </c>
      <c r="M87" s="9">
        <v>48000</v>
      </c>
      <c r="N87" s="9">
        <v>19000</v>
      </c>
      <c r="O87" s="9">
        <v>29000</v>
      </c>
      <c r="P87" s="10">
        <v>0.60416666666666663</v>
      </c>
      <c r="Q87" s="7" t="s">
        <v>25</v>
      </c>
      <c r="R87" s="7" t="s">
        <v>26</v>
      </c>
      <c r="S87" s="7">
        <f t="shared" si="3"/>
        <v>2024</v>
      </c>
      <c r="T87" s="7" t="str">
        <f t="shared" si="4"/>
        <v>ene</v>
      </c>
      <c r="U87" s="15">
        <f t="shared" si="5"/>
        <v>45292</v>
      </c>
    </row>
    <row r="88" spans="1:21" x14ac:dyDescent="0.25">
      <c r="A88" s="7">
        <v>87</v>
      </c>
      <c r="B88" s="8">
        <v>45613</v>
      </c>
      <c r="C88" s="7" t="s">
        <v>18</v>
      </c>
      <c r="D88" s="7" t="s">
        <v>34</v>
      </c>
      <c r="E88" s="7" t="s">
        <v>35</v>
      </c>
      <c r="F88" s="7" t="s">
        <v>21</v>
      </c>
      <c r="G88" s="7" t="s">
        <v>56</v>
      </c>
      <c r="H88" s="7" t="s">
        <v>57</v>
      </c>
      <c r="I88" s="7" t="s">
        <v>58</v>
      </c>
      <c r="J88" s="7">
        <v>4</v>
      </c>
      <c r="K88" s="9">
        <v>115000</v>
      </c>
      <c r="L88" s="9">
        <v>68000</v>
      </c>
      <c r="M88" s="9">
        <v>460000</v>
      </c>
      <c r="N88" s="9">
        <v>272000</v>
      </c>
      <c r="O88" s="9">
        <v>188000</v>
      </c>
      <c r="P88" s="10">
        <v>0.40869565217391313</v>
      </c>
      <c r="Q88" s="7" t="s">
        <v>41</v>
      </c>
      <c r="R88" s="7" t="s">
        <v>26</v>
      </c>
      <c r="S88" s="7">
        <f t="shared" si="3"/>
        <v>2024</v>
      </c>
      <c r="T88" s="7" t="str">
        <f t="shared" si="4"/>
        <v>nov</v>
      </c>
      <c r="U88" s="15">
        <f t="shared" si="5"/>
        <v>45597</v>
      </c>
    </row>
    <row r="89" spans="1:21" x14ac:dyDescent="0.25">
      <c r="A89" s="7">
        <v>88</v>
      </c>
      <c r="B89" s="8">
        <v>45311</v>
      </c>
      <c r="C89" s="7" t="s">
        <v>27</v>
      </c>
      <c r="D89" s="7" t="s">
        <v>19</v>
      </c>
      <c r="E89" s="7" t="s">
        <v>20</v>
      </c>
      <c r="F89" s="7" t="s">
        <v>21</v>
      </c>
      <c r="G89" s="7" t="s">
        <v>43</v>
      </c>
      <c r="H89" s="7" t="s">
        <v>37</v>
      </c>
      <c r="I89" s="7" t="s">
        <v>44</v>
      </c>
      <c r="J89" s="7">
        <v>3</v>
      </c>
      <c r="K89" s="9">
        <v>24000</v>
      </c>
      <c r="L89" s="9">
        <v>9500</v>
      </c>
      <c r="M89" s="9">
        <v>72000</v>
      </c>
      <c r="N89" s="9">
        <v>28500</v>
      </c>
      <c r="O89" s="9">
        <v>43500</v>
      </c>
      <c r="P89" s="10">
        <v>0.60416666666666663</v>
      </c>
      <c r="Q89" s="7" t="s">
        <v>39</v>
      </c>
      <c r="R89" s="7" t="s">
        <v>26</v>
      </c>
      <c r="S89" s="7">
        <f t="shared" si="3"/>
        <v>2024</v>
      </c>
      <c r="T89" s="7" t="str">
        <f t="shared" si="4"/>
        <v>ene</v>
      </c>
      <c r="U89" s="15">
        <f t="shared" si="5"/>
        <v>45292</v>
      </c>
    </row>
    <row r="90" spans="1:21" x14ac:dyDescent="0.25">
      <c r="A90" s="7">
        <v>89</v>
      </c>
      <c r="B90" s="8">
        <v>45620</v>
      </c>
      <c r="C90" s="7" t="s">
        <v>18</v>
      </c>
      <c r="D90" s="7" t="s">
        <v>40</v>
      </c>
      <c r="E90" s="7" t="s">
        <v>35</v>
      </c>
      <c r="F90" s="7" t="s">
        <v>45</v>
      </c>
      <c r="G90" s="7" t="s">
        <v>22</v>
      </c>
      <c r="H90" s="7" t="s">
        <v>23</v>
      </c>
      <c r="I90" s="7" t="s">
        <v>24</v>
      </c>
      <c r="J90" s="7">
        <v>4</v>
      </c>
      <c r="K90" s="9">
        <v>185000</v>
      </c>
      <c r="L90" s="9">
        <v>108000</v>
      </c>
      <c r="M90" s="9">
        <v>740000</v>
      </c>
      <c r="N90" s="9">
        <v>432000</v>
      </c>
      <c r="O90" s="9">
        <v>308000</v>
      </c>
      <c r="P90" s="10">
        <v>0.41621621621621618</v>
      </c>
      <c r="Q90" s="7" t="s">
        <v>41</v>
      </c>
      <c r="R90" s="7" t="s">
        <v>26</v>
      </c>
      <c r="S90" s="7">
        <f t="shared" si="3"/>
        <v>2024</v>
      </c>
      <c r="T90" s="7" t="str">
        <f t="shared" si="4"/>
        <v>nov</v>
      </c>
      <c r="U90" s="15">
        <f t="shared" si="5"/>
        <v>45597</v>
      </c>
    </row>
    <row r="91" spans="1:21" x14ac:dyDescent="0.25">
      <c r="A91" s="7">
        <v>90</v>
      </c>
      <c r="B91" s="8">
        <v>45842</v>
      </c>
      <c r="C91" s="7" t="s">
        <v>27</v>
      </c>
      <c r="D91" s="7" t="s">
        <v>61</v>
      </c>
      <c r="E91" s="7" t="s">
        <v>29</v>
      </c>
      <c r="F91" s="7" t="s">
        <v>21</v>
      </c>
      <c r="G91" s="7" t="s">
        <v>30</v>
      </c>
      <c r="H91" s="7" t="s">
        <v>31</v>
      </c>
      <c r="I91" s="7" t="s">
        <v>32</v>
      </c>
      <c r="J91" s="7">
        <v>3</v>
      </c>
      <c r="K91" s="9">
        <v>390000</v>
      </c>
      <c r="L91" s="9">
        <v>270000</v>
      </c>
      <c r="M91" s="9">
        <v>1170000</v>
      </c>
      <c r="N91" s="9">
        <v>810000</v>
      </c>
      <c r="O91" s="9">
        <v>360000</v>
      </c>
      <c r="P91" s="10">
        <v>0.30769230769230771</v>
      </c>
      <c r="Q91" s="7" t="s">
        <v>41</v>
      </c>
      <c r="R91" s="7" t="s">
        <v>26</v>
      </c>
      <c r="S91" s="7">
        <f t="shared" si="3"/>
        <v>2025</v>
      </c>
      <c r="T91" s="7" t="str">
        <f t="shared" si="4"/>
        <v>jul</v>
      </c>
      <c r="U91" s="15">
        <f t="shared" si="5"/>
        <v>45839</v>
      </c>
    </row>
    <row r="92" spans="1:21" x14ac:dyDescent="0.25">
      <c r="A92" s="7">
        <v>91</v>
      </c>
      <c r="B92" s="8">
        <v>45853</v>
      </c>
      <c r="C92" s="7" t="s">
        <v>18</v>
      </c>
      <c r="D92" s="7" t="s">
        <v>61</v>
      </c>
      <c r="E92" s="7" t="s">
        <v>29</v>
      </c>
      <c r="F92" s="7" t="s">
        <v>45</v>
      </c>
      <c r="G92" s="7" t="s">
        <v>30</v>
      </c>
      <c r="H92" s="7" t="s">
        <v>31</v>
      </c>
      <c r="I92" s="7" t="s">
        <v>32</v>
      </c>
      <c r="J92" s="7">
        <v>4</v>
      </c>
      <c r="K92" s="9">
        <v>390000</v>
      </c>
      <c r="L92" s="9">
        <v>270000</v>
      </c>
      <c r="M92" s="9">
        <v>1560000</v>
      </c>
      <c r="N92" s="9">
        <v>1080000</v>
      </c>
      <c r="O92" s="9">
        <v>480000</v>
      </c>
      <c r="P92" s="10">
        <v>0.30769230769230771</v>
      </c>
      <c r="Q92" s="7" t="s">
        <v>33</v>
      </c>
      <c r="R92" s="7" t="s">
        <v>26</v>
      </c>
      <c r="S92" s="7">
        <f t="shared" si="3"/>
        <v>2025</v>
      </c>
      <c r="T92" s="7" t="str">
        <f t="shared" si="4"/>
        <v>jul</v>
      </c>
      <c r="U92" s="15">
        <f t="shared" si="5"/>
        <v>45839</v>
      </c>
    </row>
    <row r="93" spans="1:21" x14ac:dyDescent="0.25">
      <c r="A93" s="7">
        <v>92</v>
      </c>
      <c r="B93" s="8">
        <v>45714</v>
      </c>
      <c r="C93" s="7" t="s">
        <v>18</v>
      </c>
      <c r="D93" s="7" t="s">
        <v>55</v>
      </c>
      <c r="E93" s="7" t="s">
        <v>51</v>
      </c>
      <c r="F93" s="7" t="s">
        <v>21</v>
      </c>
      <c r="G93" s="7" t="s">
        <v>56</v>
      </c>
      <c r="H93" s="7" t="s">
        <v>57</v>
      </c>
      <c r="I93" s="7" t="s">
        <v>58</v>
      </c>
      <c r="J93" s="7">
        <v>2</v>
      </c>
      <c r="K93" s="9">
        <v>520000</v>
      </c>
      <c r="L93" s="9">
        <v>365000</v>
      </c>
      <c r="M93" s="9">
        <v>1040000</v>
      </c>
      <c r="N93" s="9">
        <v>730000</v>
      </c>
      <c r="O93" s="9">
        <v>310000</v>
      </c>
      <c r="P93" s="10">
        <v>0.29807692307692307</v>
      </c>
      <c r="Q93" s="7" t="s">
        <v>25</v>
      </c>
      <c r="R93" s="7" t="s">
        <v>26</v>
      </c>
      <c r="S93" s="7">
        <f t="shared" si="3"/>
        <v>2025</v>
      </c>
      <c r="T93" s="7" t="str">
        <f t="shared" si="4"/>
        <v>feb</v>
      </c>
      <c r="U93" s="15">
        <f t="shared" si="5"/>
        <v>45689</v>
      </c>
    </row>
    <row r="94" spans="1:21" x14ac:dyDescent="0.25">
      <c r="A94" s="7">
        <v>93</v>
      </c>
      <c r="B94" s="8">
        <v>46017</v>
      </c>
      <c r="C94" s="7" t="s">
        <v>27</v>
      </c>
      <c r="D94" s="7" t="s">
        <v>40</v>
      </c>
      <c r="E94" s="7" t="s">
        <v>35</v>
      </c>
      <c r="F94" s="7" t="s">
        <v>45</v>
      </c>
      <c r="G94" s="7" t="s">
        <v>59</v>
      </c>
      <c r="H94" s="7" t="s">
        <v>31</v>
      </c>
      <c r="I94" s="7" t="s">
        <v>60</v>
      </c>
      <c r="J94" s="7">
        <v>4</v>
      </c>
      <c r="K94" s="9">
        <v>185000</v>
      </c>
      <c r="L94" s="9">
        <v>108000</v>
      </c>
      <c r="M94" s="9">
        <v>740000</v>
      </c>
      <c r="N94" s="9">
        <v>432000</v>
      </c>
      <c r="O94" s="9">
        <v>308000</v>
      </c>
      <c r="P94" s="10">
        <v>0.41621621621621618</v>
      </c>
      <c r="Q94" s="7" t="s">
        <v>41</v>
      </c>
      <c r="R94" s="7" t="s">
        <v>26</v>
      </c>
      <c r="S94" s="7">
        <f t="shared" si="3"/>
        <v>2025</v>
      </c>
      <c r="T94" s="7" t="str">
        <f t="shared" si="4"/>
        <v>dic</v>
      </c>
      <c r="U94" s="15">
        <f t="shared" si="5"/>
        <v>45992</v>
      </c>
    </row>
    <row r="95" spans="1:21" x14ac:dyDescent="0.25">
      <c r="A95" s="7">
        <v>94</v>
      </c>
      <c r="B95" s="8">
        <v>45470</v>
      </c>
      <c r="C95" s="7" t="s">
        <v>27</v>
      </c>
      <c r="D95" s="7" t="s">
        <v>55</v>
      </c>
      <c r="E95" s="7" t="s">
        <v>51</v>
      </c>
      <c r="F95" s="7" t="s">
        <v>21</v>
      </c>
      <c r="G95" s="7" t="s">
        <v>56</v>
      </c>
      <c r="H95" s="7" t="s">
        <v>57</v>
      </c>
      <c r="I95" s="7" t="s">
        <v>58</v>
      </c>
      <c r="J95" s="7">
        <v>4</v>
      </c>
      <c r="K95" s="9">
        <v>520000</v>
      </c>
      <c r="L95" s="9">
        <v>365000</v>
      </c>
      <c r="M95" s="9">
        <v>2080000</v>
      </c>
      <c r="N95" s="9">
        <v>1460000</v>
      </c>
      <c r="O95" s="9">
        <v>620000</v>
      </c>
      <c r="P95" s="10">
        <v>0.29807692307692307</v>
      </c>
      <c r="Q95" s="7" t="s">
        <v>41</v>
      </c>
      <c r="R95" s="7" t="s">
        <v>26</v>
      </c>
      <c r="S95" s="7">
        <f t="shared" si="3"/>
        <v>2024</v>
      </c>
      <c r="T95" s="7" t="str">
        <f t="shared" si="4"/>
        <v>jun</v>
      </c>
      <c r="U95" s="15">
        <f t="shared" si="5"/>
        <v>45444</v>
      </c>
    </row>
    <row r="96" spans="1:21" x14ac:dyDescent="0.25">
      <c r="A96" s="7">
        <v>95</v>
      </c>
      <c r="B96" s="8">
        <v>45897</v>
      </c>
      <c r="C96" s="7" t="s">
        <v>27</v>
      </c>
      <c r="D96" s="7" t="s">
        <v>28</v>
      </c>
      <c r="E96" s="7" t="s">
        <v>29</v>
      </c>
      <c r="F96" s="7" t="s">
        <v>21</v>
      </c>
      <c r="G96" s="7" t="s">
        <v>52</v>
      </c>
      <c r="H96" s="7" t="s">
        <v>53</v>
      </c>
      <c r="I96" s="7" t="s">
        <v>54</v>
      </c>
      <c r="J96" s="7">
        <v>4</v>
      </c>
      <c r="K96" s="9">
        <v>220000</v>
      </c>
      <c r="L96" s="9">
        <v>145000</v>
      </c>
      <c r="M96" s="9">
        <v>880000</v>
      </c>
      <c r="N96" s="9">
        <v>580000</v>
      </c>
      <c r="O96" s="9">
        <v>300000</v>
      </c>
      <c r="P96" s="10">
        <v>0.34090909090909088</v>
      </c>
      <c r="Q96" s="7" t="s">
        <v>33</v>
      </c>
      <c r="R96" s="7" t="s">
        <v>26</v>
      </c>
      <c r="S96" s="7">
        <f t="shared" si="3"/>
        <v>2025</v>
      </c>
      <c r="T96" s="7" t="str">
        <f t="shared" si="4"/>
        <v>ago</v>
      </c>
      <c r="U96" s="15">
        <f t="shared" si="5"/>
        <v>45870</v>
      </c>
    </row>
    <row r="97" spans="1:21" x14ac:dyDescent="0.25">
      <c r="A97" s="7">
        <v>96</v>
      </c>
      <c r="B97" s="8">
        <v>45401</v>
      </c>
      <c r="C97" s="7" t="s">
        <v>27</v>
      </c>
      <c r="D97" s="7" t="s">
        <v>62</v>
      </c>
      <c r="E97" s="7" t="s">
        <v>20</v>
      </c>
      <c r="F97" s="7" t="s">
        <v>21</v>
      </c>
      <c r="G97" s="7" t="s">
        <v>22</v>
      </c>
      <c r="H97" s="7" t="s">
        <v>23</v>
      </c>
      <c r="I97" s="7" t="s">
        <v>24</v>
      </c>
      <c r="J97" s="7">
        <v>3</v>
      </c>
      <c r="K97" s="9">
        <v>28000</v>
      </c>
      <c r="L97" s="9">
        <v>11000</v>
      </c>
      <c r="M97" s="9">
        <v>84000</v>
      </c>
      <c r="N97" s="9">
        <v>33000</v>
      </c>
      <c r="O97" s="9">
        <v>51000</v>
      </c>
      <c r="P97" s="10">
        <v>0.6071428571428571</v>
      </c>
      <c r="Q97" s="7" t="s">
        <v>25</v>
      </c>
      <c r="R97" s="7" t="s">
        <v>26</v>
      </c>
      <c r="S97" s="7">
        <f t="shared" si="3"/>
        <v>2024</v>
      </c>
      <c r="T97" s="7" t="str">
        <f t="shared" si="4"/>
        <v>abr</v>
      </c>
      <c r="U97" s="15">
        <f t="shared" si="5"/>
        <v>45383</v>
      </c>
    </row>
    <row r="98" spans="1:21" x14ac:dyDescent="0.25">
      <c r="A98" s="7">
        <v>97</v>
      </c>
      <c r="B98" s="8">
        <v>45577</v>
      </c>
      <c r="C98" s="7" t="s">
        <v>18</v>
      </c>
      <c r="D98" s="7" t="s">
        <v>49</v>
      </c>
      <c r="E98" s="7" t="s">
        <v>20</v>
      </c>
      <c r="F98" s="7" t="s">
        <v>45</v>
      </c>
      <c r="G98" s="7" t="s">
        <v>22</v>
      </c>
      <c r="H98" s="7" t="s">
        <v>23</v>
      </c>
      <c r="I98" s="7" t="s">
        <v>24</v>
      </c>
      <c r="J98" s="7">
        <v>2</v>
      </c>
      <c r="K98" s="9">
        <v>45000</v>
      </c>
      <c r="L98" s="9">
        <v>21000</v>
      </c>
      <c r="M98" s="9">
        <v>90000</v>
      </c>
      <c r="N98" s="9">
        <v>42000</v>
      </c>
      <c r="O98" s="9">
        <v>48000</v>
      </c>
      <c r="P98" s="10">
        <v>0.53333333333333333</v>
      </c>
      <c r="Q98" s="7" t="s">
        <v>25</v>
      </c>
      <c r="R98" s="7" t="s">
        <v>26</v>
      </c>
      <c r="S98" s="7">
        <f t="shared" si="3"/>
        <v>2024</v>
      </c>
      <c r="T98" s="7" t="str">
        <f t="shared" si="4"/>
        <v>oct</v>
      </c>
      <c r="U98" s="15">
        <f t="shared" si="5"/>
        <v>45566</v>
      </c>
    </row>
    <row r="99" spans="1:21" x14ac:dyDescent="0.25">
      <c r="A99" s="7">
        <v>98</v>
      </c>
      <c r="B99" s="8">
        <v>45860</v>
      </c>
      <c r="C99" s="7" t="s">
        <v>27</v>
      </c>
      <c r="D99" s="7" t="s">
        <v>40</v>
      </c>
      <c r="E99" s="7" t="s">
        <v>35</v>
      </c>
      <c r="F99" s="7" t="s">
        <v>45</v>
      </c>
      <c r="G99" s="7" t="s">
        <v>59</v>
      </c>
      <c r="H99" s="7" t="s">
        <v>31</v>
      </c>
      <c r="I99" s="7" t="s">
        <v>60</v>
      </c>
      <c r="J99" s="7">
        <v>1</v>
      </c>
      <c r="K99" s="9">
        <v>185000</v>
      </c>
      <c r="L99" s="9">
        <v>108000</v>
      </c>
      <c r="M99" s="9">
        <v>185000</v>
      </c>
      <c r="N99" s="9">
        <v>108000</v>
      </c>
      <c r="O99" s="9">
        <v>77000</v>
      </c>
      <c r="P99" s="10">
        <v>0.41621621621621618</v>
      </c>
      <c r="Q99" s="7" t="s">
        <v>25</v>
      </c>
      <c r="R99" s="7" t="s">
        <v>26</v>
      </c>
      <c r="S99" s="7">
        <f t="shared" si="3"/>
        <v>2025</v>
      </c>
      <c r="T99" s="7" t="str">
        <f t="shared" si="4"/>
        <v>jul</v>
      </c>
      <c r="U99" s="15">
        <f t="shared" si="5"/>
        <v>45839</v>
      </c>
    </row>
    <row r="100" spans="1:21" x14ac:dyDescent="0.25">
      <c r="A100" s="7">
        <v>99</v>
      </c>
      <c r="B100" s="8">
        <v>46012</v>
      </c>
      <c r="C100" s="7" t="s">
        <v>18</v>
      </c>
      <c r="D100" s="7" t="s">
        <v>55</v>
      </c>
      <c r="E100" s="7" t="s">
        <v>51</v>
      </c>
      <c r="F100" s="7" t="s">
        <v>45</v>
      </c>
      <c r="G100" s="7" t="s">
        <v>36</v>
      </c>
      <c r="H100" s="7" t="s">
        <v>37</v>
      </c>
      <c r="I100" s="7" t="s">
        <v>38</v>
      </c>
      <c r="J100" s="7">
        <v>4</v>
      </c>
      <c r="K100" s="9">
        <v>520000</v>
      </c>
      <c r="L100" s="9">
        <v>365000</v>
      </c>
      <c r="M100" s="9">
        <v>2080000</v>
      </c>
      <c r="N100" s="9">
        <v>1460000</v>
      </c>
      <c r="O100" s="9">
        <v>620000</v>
      </c>
      <c r="P100" s="10">
        <v>0.29807692307692307</v>
      </c>
      <c r="Q100" s="7" t="s">
        <v>41</v>
      </c>
      <c r="R100" s="7" t="s">
        <v>26</v>
      </c>
      <c r="S100" s="7">
        <f t="shared" si="3"/>
        <v>2025</v>
      </c>
      <c r="T100" s="7" t="str">
        <f t="shared" si="4"/>
        <v>dic</v>
      </c>
      <c r="U100" s="15">
        <f t="shared" si="5"/>
        <v>45992</v>
      </c>
    </row>
    <row r="101" spans="1:21" x14ac:dyDescent="0.25">
      <c r="A101" s="7">
        <v>100</v>
      </c>
      <c r="B101" s="8">
        <v>45729</v>
      </c>
      <c r="C101" s="7" t="s">
        <v>27</v>
      </c>
      <c r="D101" s="7" t="s">
        <v>55</v>
      </c>
      <c r="E101" s="7" t="s">
        <v>51</v>
      </c>
      <c r="F101" s="7" t="s">
        <v>21</v>
      </c>
      <c r="G101" s="7" t="s">
        <v>22</v>
      </c>
      <c r="H101" s="7" t="s">
        <v>23</v>
      </c>
      <c r="I101" s="7" t="s">
        <v>24</v>
      </c>
      <c r="J101" s="7">
        <v>4</v>
      </c>
      <c r="K101" s="9">
        <v>520000</v>
      </c>
      <c r="L101" s="9">
        <v>365000</v>
      </c>
      <c r="M101" s="9">
        <v>2080000</v>
      </c>
      <c r="N101" s="9">
        <v>1460000</v>
      </c>
      <c r="O101" s="9">
        <v>620000</v>
      </c>
      <c r="P101" s="10">
        <v>0.29807692307692307</v>
      </c>
      <c r="Q101" s="7" t="s">
        <v>41</v>
      </c>
      <c r="R101" s="7" t="s">
        <v>26</v>
      </c>
      <c r="S101" s="7">
        <f t="shared" si="3"/>
        <v>2025</v>
      </c>
      <c r="T101" s="7" t="str">
        <f t="shared" si="4"/>
        <v>mar</v>
      </c>
      <c r="U101" s="15">
        <f t="shared" si="5"/>
        <v>45717</v>
      </c>
    </row>
    <row r="102" spans="1:21" x14ac:dyDescent="0.25">
      <c r="A102" s="7">
        <v>101</v>
      </c>
      <c r="B102" s="8">
        <v>45517</v>
      </c>
      <c r="C102" s="7" t="s">
        <v>18</v>
      </c>
      <c r="D102" s="7" t="s">
        <v>62</v>
      </c>
      <c r="E102" s="7" t="s">
        <v>20</v>
      </c>
      <c r="F102" s="7" t="s">
        <v>21</v>
      </c>
      <c r="G102" s="7" t="s">
        <v>52</v>
      </c>
      <c r="H102" s="7" t="s">
        <v>53</v>
      </c>
      <c r="I102" s="7" t="s">
        <v>54</v>
      </c>
      <c r="J102" s="7">
        <v>2</v>
      </c>
      <c r="K102" s="9">
        <v>28000</v>
      </c>
      <c r="L102" s="9">
        <v>11000</v>
      </c>
      <c r="M102" s="9">
        <v>56000</v>
      </c>
      <c r="N102" s="9">
        <v>22000</v>
      </c>
      <c r="O102" s="9">
        <v>34000</v>
      </c>
      <c r="P102" s="10">
        <v>0.6071428571428571</v>
      </c>
      <c r="Q102" s="7" t="s">
        <v>39</v>
      </c>
      <c r="R102" s="7" t="s">
        <v>26</v>
      </c>
      <c r="S102" s="7">
        <f t="shared" si="3"/>
        <v>2024</v>
      </c>
      <c r="T102" s="7" t="str">
        <f t="shared" si="4"/>
        <v>ago</v>
      </c>
      <c r="U102" s="15">
        <f t="shared" si="5"/>
        <v>45505</v>
      </c>
    </row>
    <row r="103" spans="1:21" x14ac:dyDescent="0.25">
      <c r="A103" s="7">
        <v>102</v>
      </c>
      <c r="B103" s="8">
        <v>45833</v>
      </c>
      <c r="C103" s="7" t="s">
        <v>27</v>
      </c>
      <c r="D103" s="7" t="s">
        <v>34</v>
      </c>
      <c r="E103" s="7" t="s">
        <v>35</v>
      </c>
      <c r="F103" s="7" t="s">
        <v>21</v>
      </c>
      <c r="G103" s="7" t="s">
        <v>22</v>
      </c>
      <c r="H103" s="7" t="s">
        <v>23</v>
      </c>
      <c r="I103" s="7" t="s">
        <v>24</v>
      </c>
      <c r="J103" s="7">
        <v>2</v>
      </c>
      <c r="K103" s="9">
        <v>115000</v>
      </c>
      <c r="L103" s="9">
        <v>68000</v>
      </c>
      <c r="M103" s="9">
        <v>230000</v>
      </c>
      <c r="N103" s="9">
        <v>136000</v>
      </c>
      <c r="O103" s="9">
        <v>94000</v>
      </c>
      <c r="P103" s="10">
        <v>0.40869565217391313</v>
      </c>
      <c r="Q103" s="7" t="s">
        <v>41</v>
      </c>
      <c r="R103" s="7" t="s">
        <v>26</v>
      </c>
      <c r="S103" s="7">
        <f t="shared" si="3"/>
        <v>2025</v>
      </c>
      <c r="T103" s="7" t="str">
        <f t="shared" si="4"/>
        <v>jun</v>
      </c>
      <c r="U103" s="15">
        <f t="shared" si="5"/>
        <v>45809</v>
      </c>
    </row>
    <row r="104" spans="1:21" x14ac:dyDescent="0.25">
      <c r="A104" s="7">
        <v>103</v>
      </c>
      <c r="B104" s="8">
        <v>45318</v>
      </c>
      <c r="C104" s="7" t="s">
        <v>18</v>
      </c>
      <c r="D104" s="7" t="s">
        <v>19</v>
      </c>
      <c r="E104" s="7" t="s">
        <v>20</v>
      </c>
      <c r="F104" s="7" t="s">
        <v>21</v>
      </c>
      <c r="G104" s="7" t="s">
        <v>46</v>
      </c>
      <c r="H104" s="7" t="s">
        <v>47</v>
      </c>
      <c r="I104" s="7" t="s">
        <v>48</v>
      </c>
      <c r="J104" s="7">
        <v>3</v>
      </c>
      <c r="K104" s="9">
        <v>24000</v>
      </c>
      <c r="L104" s="9">
        <v>9500</v>
      </c>
      <c r="M104" s="9">
        <v>72000</v>
      </c>
      <c r="N104" s="9">
        <v>28500</v>
      </c>
      <c r="O104" s="9">
        <v>43500</v>
      </c>
      <c r="P104" s="10">
        <v>0.60416666666666663</v>
      </c>
      <c r="Q104" s="7" t="s">
        <v>25</v>
      </c>
      <c r="R104" s="7" t="s">
        <v>26</v>
      </c>
      <c r="S104" s="7">
        <f t="shared" si="3"/>
        <v>2024</v>
      </c>
      <c r="T104" s="7" t="str">
        <f t="shared" si="4"/>
        <v>ene</v>
      </c>
      <c r="U104" s="15">
        <f t="shared" si="5"/>
        <v>45292</v>
      </c>
    </row>
    <row r="105" spans="1:21" x14ac:dyDescent="0.25">
      <c r="A105" s="7">
        <v>104</v>
      </c>
      <c r="B105" s="8">
        <v>45441</v>
      </c>
      <c r="C105" s="7" t="s">
        <v>27</v>
      </c>
      <c r="D105" s="7" t="s">
        <v>61</v>
      </c>
      <c r="E105" s="7" t="s">
        <v>29</v>
      </c>
      <c r="F105" s="7" t="s">
        <v>21</v>
      </c>
      <c r="G105" s="7" t="s">
        <v>22</v>
      </c>
      <c r="H105" s="7" t="s">
        <v>23</v>
      </c>
      <c r="I105" s="7" t="s">
        <v>24</v>
      </c>
      <c r="J105" s="7">
        <v>3</v>
      </c>
      <c r="K105" s="9">
        <v>390000</v>
      </c>
      <c r="L105" s="9">
        <v>270000</v>
      </c>
      <c r="M105" s="9">
        <v>1170000</v>
      </c>
      <c r="N105" s="9">
        <v>810000</v>
      </c>
      <c r="O105" s="9">
        <v>360000</v>
      </c>
      <c r="P105" s="10">
        <v>0.30769230769230771</v>
      </c>
      <c r="Q105" s="7" t="s">
        <v>39</v>
      </c>
      <c r="R105" s="7" t="s">
        <v>26</v>
      </c>
      <c r="S105" s="7">
        <f t="shared" si="3"/>
        <v>2024</v>
      </c>
      <c r="T105" s="7" t="str">
        <f t="shared" si="4"/>
        <v>may</v>
      </c>
      <c r="U105" s="15">
        <f t="shared" si="5"/>
        <v>45413</v>
      </c>
    </row>
    <row r="106" spans="1:21" x14ac:dyDescent="0.25">
      <c r="A106" s="7">
        <v>105</v>
      </c>
      <c r="B106" s="8">
        <v>45486</v>
      </c>
      <c r="C106" s="7" t="s">
        <v>18</v>
      </c>
      <c r="D106" s="7" t="s">
        <v>34</v>
      </c>
      <c r="E106" s="7" t="s">
        <v>35</v>
      </c>
      <c r="F106" s="7" t="s">
        <v>45</v>
      </c>
      <c r="G106" s="7" t="s">
        <v>52</v>
      </c>
      <c r="H106" s="7" t="s">
        <v>53</v>
      </c>
      <c r="I106" s="7" t="s">
        <v>54</v>
      </c>
      <c r="J106" s="7">
        <v>4</v>
      </c>
      <c r="K106" s="9">
        <v>115000</v>
      </c>
      <c r="L106" s="9">
        <v>68000</v>
      </c>
      <c r="M106" s="9">
        <v>460000</v>
      </c>
      <c r="N106" s="9">
        <v>272000</v>
      </c>
      <c r="O106" s="9">
        <v>188000</v>
      </c>
      <c r="P106" s="10">
        <v>0.40869565217391313</v>
      </c>
      <c r="Q106" s="7" t="s">
        <v>25</v>
      </c>
      <c r="R106" s="7" t="s">
        <v>26</v>
      </c>
      <c r="S106" s="7">
        <f t="shared" si="3"/>
        <v>2024</v>
      </c>
      <c r="T106" s="7" t="str">
        <f t="shared" si="4"/>
        <v>jul</v>
      </c>
      <c r="U106" s="15">
        <f t="shared" si="5"/>
        <v>45474</v>
      </c>
    </row>
    <row r="107" spans="1:21" x14ac:dyDescent="0.25">
      <c r="A107" s="7">
        <v>106</v>
      </c>
      <c r="B107" s="8">
        <v>45772</v>
      </c>
      <c r="C107" s="7" t="s">
        <v>18</v>
      </c>
      <c r="D107" s="7" t="s">
        <v>61</v>
      </c>
      <c r="E107" s="7" t="s">
        <v>29</v>
      </c>
      <c r="F107" s="7" t="s">
        <v>45</v>
      </c>
      <c r="G107" s="7" t="s">
        <v>36</v>
      </c>
      <c r="H107" s="7" t="s">
        <v>37</v>
      </c>
      <c r="I107" s="7" t="s">
        <v>38</v>
      </c>
      <c r="J107" s="7">
        <v>2</v>
      </c>
      <c r="K107" s="9">
        <v>390000</v>
      </c>
      <c r="L107" s="9">
        <v>270000</v>
      </c>
      <c r="M107" s="9">
        <v>780000</v>
      </c>
      <c r="N107" s="9">
        <v>540000</v>
      </c>
      <c r="O107" s="9">
        <v>240000</v>
      </c>
      <c r="P107" s="10">
        <v>0.30769230769230771</v>
      </c>
      <c r="Q107" s="7" t="s">
        <v>41</v>
      </c>
      <c r="R107" s="7" t="s">
        <v>26</v>
      </c>
      <c r="S107" s="7">
        <f t="shared" si="3"/>
        <v>2025</v>
      </c>
      <c r="T107" s="7" t="str">
        <f t="shared" si="4"/>
        <v>abr</v>
      </c>
      <c r="U107" s="15">
        <f t="shared" si="5"/>
        <v>45748</v>
      </c>
    </row>
    <row r="108" spans="1:21" x14ac:dyDescent="0.25">
      <c r="A108" s="7">
        <v>107</v>
      </c>
      <c r="B108" s="8">
        <v>45883</v>
      </c>
      <c r="C108" s="7" t="s">
        <v>18</v>
      </c>
      <c r="D108" s="7" t="s">
        <v>62</v>
      </c>
      <c r="E108" s="7" t="s">
        <v>20</v>
      </c>
      <c r="F108" s="7" t="s">
        <v>45</v>
      </c>
      <c r="G108" s="7" t="s">
        <v>43</v>
      </c>
      <c r="H108" s="7" t="s">
        <v>37</v>
      </c>
      <c r="I108" s="7" t="s">
        <v>44</v>
      </c>
      <c r="J108" s="7">
        <v>2</v>
      </c>
      <c r="K108" s="9">
        <v>28000</v>
      </c>
      <c r="L108" s="9">
        <v>11000</v>
      </c>
      <c r="M108" s="9">
        <v>56000</v>
      </c>
      <c r="N108" s="9">
        <v>22000</v>
      </c>
      <c r="O108" s="9">
        <v>34000</v>
      </c>
      <c r="P108" s="10">
        <v>0.6071428571428571</v>
      </c>
      <c r="Q108" s="7" t="s">
        <v>39</v>
      </c>
      <c r="R108" s="7" t="s">
        <v>26</v>
      </c>
      <c r="S108" s="7">
        <f t="shared" si="3"/>
        <v>2025</v>
      </c>
      <c r="T108" s="7" t="str">
        <f t="shared" si="4"/>
        <v>ago</v>
      </c>
      <c r="U108" s="15">
        <f t="shared" si="5"/>
        <v>45870</v>
      </c>
    </row>
    <row r="109" spans="1:21" x14ac:dyDescent="0.25">
      <c r="A109" s="7">
        <v>108</v>
      </c>
      <c r="B109" s="8">
        <v>45491</v>
      </c>
      <c r="C109" s="7" t="s">
        <v>27</v>
      </c>
      <c r="D109" s="7" t="s">
        <v>40</v>
      </c>
      <c r="E109" s="7" t="s">
        <v>35</v>
      </c>
      <c r="F109" s="7" t="s">
        <v>21</v>
      </c>
      <c r="G109" s="7" t="s">
        <v>22</v>
      </c>
      <c r="H109" s="7" t="s">
        <v>23</v>
      </c>
      <c r="I109" s="7" t="s">
        <v>24</v>
      </c>
      <c r="J109" s="7">
        <v>3</v>
      </c>
      <c r="K109" s="9">
        <v>185000</v>
      </c>
      <c r="L109" s="9">
        <v>108000</v>
      </c>
      <c r="M109" s="9">
        <v>555000</v>
      </c>
      <c r="N109" s="9">
        <v>324000</v>
      </c>
      <c r="O109" s="9">
        <v>231000</v>
      </c>
      <c r="P109" s="10">
        <v>0.41621621621621618</v>
      </c>
      <c r="Q109" s="7" t="s">
        <v>41</v>
      </c>
      <c r="R109" s="7" t="s">
        <v>26</v>
      </c>
      <c r="S109" s="7">
        <f t="shared" si="3"/>
        <v>2024</v>
      </c>
      <c r="T109" s="7" t="str">
        <f t="shared" si="4"/>
        <v>jul</v>
      </c>
      <c r="U109" s="15">
        <f t="shared" si="5"/>
        <v>45474</v>
      </c>
    </row>
    <row r="110" spans="1:21" x14ac:dyDescent="0.25">
      <c r="A110" s="7">
        <v>109</v>
      </c>
      <c r="B110" s="8">
        <v>45369</v>
      </c>
      <c r="C110" s="7" t="s">
        <v>27</v>
      </c>
      <c r="D110" s="7" t="s">
        <v>19</v>
      </c>
      <c r="E110" s="7" t="s">
        <v>20</v>
      </c>
      <c r="F110" s="7" t="s">
        <v>21</v>
      </c>
      <c r="G110" s="7" t="s">
        <v>52</v>
      </c>
      <c r="H110" s="7" t="s">
        <v>53</v>
      </c>
      <c r="I110" s="7" t="s">
        <v>54</v>
      </c>
      <c r="J110" s="7">
        <v>1</v>
      </c>
      <c r="K110" s="9">
        <v>24000</v>
      </c>
      <c r="L110" s="9">
        <v>9500</v>
      </c>
      <c r="M110" s="9">
        <v>24000</v>
      </c>
      <c r="N110" s="9">
        <v>9500</v>
      </c>
      <c r="O110" s="9">
        <v>14500</v>
      </c>
      <c r="P110" s="10">
        <v>0.60416666666666663</v>
      </c>
      <c r="Q110" s="7" t="s">
        <v>39</v>
      </c>
      <c r="R110" s="7" t="s">
        <v>26</v>
      </c>
      <c r="S110" s="7">
        <f t="shared" si="3"/>
        <v>2024</v>
      </c>
      <c r="T110" s="7" t="str">
        <f t="shared" si="4"/>
        <v>mar</v>
      </c>
      <c r="U110" s="15">
        <f t="shared" si="5"/>
        <v>45352</v>
      </c>
    </row>
    <row r="111" spans="1:21" x14ac:dyDescent="0.25">
      <c r="A111" s="7">
        <v>110</v>
      </c>
      <c r="B111" s="8">
        <v>45546</v>
      </c>
      <c r="C111" s="7" t="s">
        <v>27</v>
      </c>
      <c r="D111" s="7" t="s">
        <v>61</v>
      </c>
      <c r="E111" s="7" t="s">
        <v>29</v>
      </c>
      <c r="F111" s="7" t="s">
        <v>45</v>
      </c>
      <c r="G111" s="7" t="s">
        <v>30</v>
      </c>
      <c r="H111" s="7" t="s">
        <v>31</v>
      </c>
      <c r="I111" s="7" t="s">
        <v>32</v>
      </c>
      <c r="J111" s="7">
        <v>1</v>
      </c>
      <c r="K111" s="9">
        <v>390000</v>
      </c>
      <c r="L111" s="9">
        <v>270000</v>
      </c>
      <c r="M111" s="9">
        <v>390000</v>
      </c>
      <c r="N111" s="9">
        <v>270000</v>
      </c>
      <c r="O111" s="9">
        <v>120000</v>
      </c>
      <c r="P111" s="10">
        <v>0.30769230769230771</v>
      </c>
      <c r="Q111" s="7" t="s">
        <v>33</v>
      </c>
      <c r="R111" s="7" t="s">
        <v>26</v>
      </c>
      <c r="S111" s="7">
        <f t="shared" si="3"/>
        <v>2024</v>
      </c>
      <c r="T111" s="7" t="str">
        <f t="shared" si="4"/>
        <v>sept</v>
      </c>
      <c r="U111" s="15">
        <f t="shared" si="5"/>
        <v>45536</v>
      </c>
    </row>
    <row r="112" spans="1:21" x14ac:dyDescent="0.25">
      <c r="A112" s="7">
        <v>111</v>
      </c>
      <c r="B112" s="8">
        <v>45762</v>
      </c>
      <c r="C112" s="7" t="s">
        <v>18</v>
      </c>
      <c r="D112" s="7" t="s">
        <v>34</v>
      </c>
      <c r="E112" s="7" t="s">
        <v>35</v>
      </c>
      <c r="F112" s="7" t="s">
        <v>21</v>
      </c>
      <c r="G112" s="7" t="s">
        <v>52</v>
      </c>
      <c r="H112" s="7" t="s">
        <v>53</v>
      </c>
      <c r="I112" s="7" t="s">
        <v>54</v>
      </c>
      <c r="J112" s="7">
        <v>1</v>
      </c>
      <c r="K112" s="9">
        <v>115000</v>
      </c>
      <c r="L112" s="9">
        <v>68000</v>
      </c>
      <c r="M112" s="9">
        <v>115000</v>
      </c>
      <c r="N112" s="9">
        <v>68000</v>
      </c>
      <c r="O112" s="9">
        <v>47000</v>
      </c>
      <c r="P112" s="10">
        <v>0.40869565217391313</v>
      </c>
      <c r="Q112" s="7" t="s">
        <v>39</v>
      </c>
      <c r="R112" s="7" t="s">
        <v>26</v>
      </c>
      <c r="S112" s="7">
        <f t="shared" si="3"/>
        <v>2025</v>
      </c>
      <c r="T112" s="7" t="str">
        <f t="shared" si="4"/>
        <v>abr</v>
      </c>
      <c r="U112" s="15">
        <f t="shared" si="5"/>
        <v>45748</v>
      </c>
    </row>
    <row r="113" spans="1:21" x14ac:dyDescent="0.25">
      <c r="A113" s="7">
        <v>112</v>
      </c>
      <c r="B113" s="8">
        <v>45726</v>
      </c>
      <c r="C113" s="7" t="s">
        <v>18</v>
      </c>
      <c r="D113" s="7" t="s">
        <v>62</v>
      </c>
      <c r="E113" s="7" t="s">
        <v>20</v>
      </c>
      <c r="F113" s="7" t="s">
        <v>21</v>
      </c>
      <c r="G113" s="7" t="s">
        <v>46</v>
      </c>
      <c r="H113" s="7" t="s">
        <v>47</v>
      </c>
      <c r="I113" s="7" t="s">
        <v>48</v>
      </c>
      <c r="J113" s="7">
        <v>3</v>
      </c>
      <c r="K113" s="9">
        <v>28000</v>
      </c>
      <c r="L113" s="9">
        <v>11000</v>
      </c>
      <c r="M113" s="9">
        <v>84000</v>
      </c>
      <c r="N113" s="9">
        <v>33000</v>
      </c>
      <c r="O113" s="9">
        <v>51000</v>
      </c>
      <c r="P113" s="10">
        <v>0.6071428571428571</v>
      </c>
      <c r="Q113" s="7" t="s">
        <v>39</v>
      </c>
      <c r="R113" s="7" t="s">
        <v>26</v>
      </c>
      <c r="S113" s="7">
        <f t="shared" si="3"/>
        <v>2025</v>
      </c>
      <c r="T113" s="7" t="str">
        <f t="shared" si="4"/>
        <v>mar</v>
      </c>
      <c r="U113" s="15">
        <f t="shared" si="5"/>
        <v>45717</v>
      </c>
    </row>
    <row r="114" spans="1:21" x14ac:dyDescent="0.25">
      <c r="A114" s="7">
        <v>113</v>
      </c>
      <c r="B114" s="8">
        <v>45334</v>
      </c>
      <c r="C114" s="7" t="s">
        <v>18</v>
      </c>
      <c r="D114" s="7" t="s">
        <v>42</v>
      </c>
      <c r="E114" s="7" t="s">
        <v>29</v>
      </c>
      <c r="F114" s="7" t="s">
        <v>21</v>
      </c>
      <c r="G114" s="7" t="s">
        <v>43</v>
      </c>
      <c r="H114" s="7" t="s">
        <v>37</v>
      </c>
      <c r="I114" s="7" t="s">
        <v>44</v>
      </c>
      <c r="J114" s="7">
        <v>2</v>
      </c>
      <c r="K114" s="9">
        <v>780000</v>
      </c>
      <c r="L114" s="9">
        <v>590000</v>
      </c>
      <c r="M114" s="9">
        <v>1560000</v>
      </c>
      <c r="N114" s="9">
        <v>1180000</v>
      </c>
      <c r="O114" s="9">
        <v>380000</v>
      </c>
      <c r="P114" s="10">
        <v>0.24358974358974361</v>
      </c>
      <c r="Q114" s="7" t="s">
        <v>39</v>
      </c>
      <c r="R114" s="7" t="s">
        <v>26</v>
      </c>
      <c r="S114" s="7">
        <f t="shared" si="3"/>
        <v>2024</v>
      </c>
      <c r="T114" s="7" t="str">
        <f t="shared" si="4"/>
        <v>feb</v>
      </c>
      <c r="U114" s="15">
        <f t="shared" si="5"/>
        <v>45323</v>
      </c>
    </row>
    <row r="115" spans="1:21" x14ac:dyDescent="0.25">
      <c r="A115" s="7">
        <v>114</v>
      </c>
      <c r="B115" s="8">
        <v>45820</v>
      </c>
      <c r="C115" s="7" t="s">
        <v>27</v>
      </c>
      <c r="D115" s="7" t="s">
        <v>62</v>
      </c>
      <c r="E115" s="7" t="s">
        <v>20</v>
      </c>
      <c r="F115" s="7" t="s">
        <v>21</v>
      </c>
      <c r="G115" s="7" t="s">
        <v>36</v>
      </c>
      <c r="H115" s="7" t="s">
        <v>37</v>
      </c>
      <c r="I115" s="7" t="s">
        <v>38</v>
      </c>
      <c r="J115" s="7">
        <v>2</v>
      </c>
      <c r="K115" s="9">
        <v>28000</v>
      </c>
      <c r="L115" s="9">
        <v>11000</v>
      </c>
      <c r="M115" s="9">
        <v>56000</v>
      </c>
      <c r="N115" s="9">
        <v>22000</v>
      </c>
      <c r="O115" s="9">
        <v>34000</v>
      </c>
      <c r="P115" s="10">
        <v>0.6071428571428571</v>
      </c>
      <c r="Q115" s="7" t="s">
        <v>33</v>
      </c>
      <c r="R115" s="7" t="s">
        <v>26</v>
      </c>
      <c r="S115" s="7">
        <f t="shared" si="3"/>
        <v>2025</v>
      </c>
      <c r="T115" s="7" t="str">
        <f t="shared" si="4"/>
        <v>jun</v>
      </c>
      <c r="U115" s="15">
        <f t="shared" si="5"/>
        <v>45809</v>
      </c>
    </row>
    <row r="116" spans="1:21" x14ac:dyDescent="0.25">
      <c r="A116" s="7">
        <v>115</v>
      </c>
      <c r="B116" s="8">
        <v>45894</v>
      </c>
      <c r="C116" s="7" t="s">
        <v>27</v>
      </c>
      <c r="D116" s="7" t="s">
        <v>28</v>
      </c>
      <c r="E116" s="7" t="s">
        <v>29</v>
      </c>
      <c r="F116" s="7" t="s">
        <v>45</v>
      </c>
      <c r="G116" s="7" t="s">
        <v>36</v>
      </c>
      <c r="H116" s="7" t="s">
        <v>37</v>
      </c>
      <c r="I116" s="7" t="s">
        <v>38</v>
      </c>
      <c r="J116" s="7">
        <v>1</v>
      </c>
      <c r="K116" s="9">
        <v>220000</v>
      </c>
      <c r="L116" s="9">
        <v>145000</v>
      </c>
      <c r="M116" s="9">
        <v>220000</v>
      </c>
      <c r="N116" s="9">
        <v>145000</v>
      </c>
      <c r="O116" s="9">
        <v>75000</v>
      </c>
      <c r="P116" s="10">
        <v>0.34090909090909088</v>
      </c>
      <c r="Q116" s="7" t="s">
        <v>33</v>
      </c>
      <c r="R116" s="7" t="s">
        <v>26</v>
      </c>
      <c r="S116" s="7">
        <f t="shared" si="3"/>
        <v>2025</v>
      </c>
      <c r="T116" s="7" t="str">
        <f t="shared" si="4"/>
        <v>ago</v>
      </c>
      <c r="U116" s="15">
        <f t="shared" si="5"/>
        <v>45870</v>
      </c>
    </row>
    <row r="117" spans="1:21" x14ac:dyDescent="0.25">
      <c r="A117" s="7">
        <v>116</v>
      </c>
      <c r="B117" s="8">
        <v>45653</v>
      </c>
      <c r="C117" s="7" t="s">
        <v>18</v>
      </c>
      <c r="D117" s="7" t="s">
        <v>49</v>
      </c>
      <c r="E117" s="7" t="s">
        <v>20</v>
      </c>
      <c r="F117" s="7" t="s">
        <v>45</v>
      </c>
      <c r="G117" s="7" t="s">
        <v>59</v>
      </c>
      <c r="H117" s="7" t="s">
        <v>31</v>
      </c>
      <c r="I117" s="7" t="s">
        <v>60</v>
      </c>
      <c r="J117" s="7">
        <v>2</v>
      </c>
      <c r="K117" s="9">
        <v>45000</v>
      </c>
      <c r="L117" s="9">
        <v>21000</v>
      </c>
      <c r="M117" s="9">
        <v>90000</v>
      </c>
      <c r="N117" s="9">
        <v>42000</v>
      </c>
      <c r="O117" s="9">
        <v>48000</v>
      </c>
      <c r="P117" s="10">
        <v>0.53333333333333333</v>
      </c>
      <c r="Q117" s="7" t="s">
        <v>41</v>
      </c>
      <c r="R117" s="7" t="s">
        <v>26</v>
      </c>
      <c r="S117" s="7">
        <f t="shared" si="3"/>
        <v>2024</v>
      </c>
      <c r="T117" s="7" t="str">
        <f t="shared" si="4"/>
        <v>dic</v>
      </c>
      <c r="U117" s="15">
        <f t="shared" si="5"/>
        <v>45627</v>
      </c>
    </row>
    <row r="118" spans="1:21" x14ac:dyDescent="0.25">
      <c r="A118" s="7">
        <v>117</v>
      </c>
      <c r="B118" s="8">
        <v>45741</v>
      </c>
      <c r="C118" s="7" t="s">
        <v>27</v>
      </c>
      <c r="D118" s="7" t="s">
        <v>61</v>
      </c>
      <c r="E118" s="7" t="s">
        <v>29</v>
      </c>
      <c r="F118" s="7" t="s">
        <v>21</v>
      </c>
      <c r="G118" s="7" t="s">
        <v>43</v>
      </c>
      <c r="H118" s="7" t="s">
        <v>37</v>
      </c>
      <c r="I118" s="7" t="s">
        <v>44</v>
      </c>
      <c r="J118" s="7">
        <v>1</v>
      </c>
      <c r="K118" s="9">
        <v>390000</v>
      </c>
      <c r="L118" s="9">
        <v>270000</v>
      </c>
      <c r="M118" s="9">
        <v>390000</v>
      </c>
      <c r="N118" s="9">
        <v>270000</v>
      </c>
      <c r="O118" s="9">
        <v>120000</v>
      </c>
      <c r="P118" s="10">
        <v>0.30769230769230771</v>
      </c>
      <c r="Q118" s="7" t="s">
        <v>33</v>
      </c>
      <c r="R118" s="7" t="s">
        <v>26</v>
      </c>
      <c r="S118" s="7">
        <f t="shared" si="3"/>
        <v>2025</v>
      </c>
      <c r="T118" s="7" t="str">
        <f t="shared" si="4"/>
        <v>mar</v>
      </c>
      <c r="U118" s="15">
        <f t="shared" si="5"/>
        <v>45717</v>
      </c>
    </row>
    <row r="119" spans="1:21" x14ac:dyDescent="0.25">
      <c r="A119" s="7">
        <v>118</v>
      </c>
      <c r="B119" s="8">
        <v>45410</v>
      </c>
      <c r="C119" s="7" t="s">
        <v>27</v>
      </c>
      <c r="D119" s="7" t="s">
        <v>62</v>
      </c>
      <c r="E119" s="7" t="s">
        <v>20</v>
      </c>
      <c r="F119" s="7" t="s">
        <v>45</v>
      </c>
      <c r="G119" s="7" t="s">
        <v>46</v>
      </c>
      <c r="H119" s="7" t="s">
        <v>47</v>
      </c>
      <c r="I119" s="7" t="s">
        <v>48</v>
      </c>
      <c r="J119" s="7">
        <v>4</v>
      </c>
      <c r="K119" s="9">
        <v>28000</v>
      </c>
      <c r="L119" s="9">
        <v>11000</v>
      </c>
      <c r="M119" s="9">
        <v>112000</v>
      </c>
      <c r="N119" s="9">
        <v>44000</v>
      </c>
      <c r="O119" s="9">
        <v>68000</v>
      </c>
      <c r="P119" s="10">
        <v>0.6071428571428571</v>
      </c>
      <c r="Q119" s="7" t="s">
        <v>39</v>
      </c>
      <c r="R119" s="7" t="s">
        <v>26</v>
      </c>
      <c r="S119" s="7">
        <f t="shared" si="3"/>
        <v>2024</v>
      </c>
      <c r="T119" s="7" t="str">
        <f t="shared" si="4"/>
        <v>abr</v>
      </c>
      <c r="U119" s="15">
        <f t="shared" si="5"/>
        <v>45383</v>
      </c>
    </row>
    <row r="120" spans="1:21" x14ac:dyDescent="0.25">
      <c r="A120" s="7">
        <v>119</v>
      </c>
      <c r="B120" s="8">
        <v>45488</v>
      </c>
      <c r="C120" s="7" t="s">
        <v>18</v>
      </c>
      <c r="D120" s="7" t="s">
        <v>40</v>
      </c>
      <c r="E120" s="7" t="s">
        <v>35</v>
      </c>
      <c r="F120" s="7" t="s">
        <v>21</v>
      </c>
      <c r="G120" s="7" t="s">
        <v>56</v>
      </c>
      <c r="H120" s="7" t="s">
        <v>57</v>
      </c>
      <c r="I120" s="7" t="s">
        <v>58</v>
      </c>
      <c r="J120" s="7">
        <v>1</v>
      </c>
      <c r="K120" s="9">
        <v>185000</v>
      </c>
      <c r="L120" s="9">
        <v>108000</v>
      </c>
      <c r="M120" s="9">
        <v>185000</v>
      </c>
      <c r="N120" s="9">
        <v>108000</v>
      </c>
      <c r="O120" s="9">
        <v>77000</v>
      </c>
      <c r="P120" s="10">
        <v>0.41621621621621618</v>
      </c>
      <c r="Q120" s="7" t="s">
        <v>39</v>
      </c>
      <c r="R120" s="7" t="s">
        <v>26</v>
      </c>
      <c r="S120" s="7">
        <f t="shared" si="3"/>
        <v>2024</v>
      </c>
      <c r="T120" s="7" t="str">
        <f t="shared" si="4"/>
        <v>jul</v>
      </c>
      <c r="U120" s="15">
        <f t="shared" si="5"/>
        <v>45474</v>
      </c>
    </row>
    <row r="121" spans="1:21" x14ac:dyDescent="0.25">
      <c r="A121" s="7">
        <v>120</v>
      </c>
      <c r="B121" s="8">
        <v>45792</v>
      </c>
      <c r="C121" s="7" t="s">
        <v>18</v>
      </c>
      <c r="D121" s="7" t="s">
        <v>34</v>
      </c>
      <c r="E121" s="7" t="s">
        <v>35</v>
      </c>
      <c r="F121" s="7" t="s">
        <v>45</v>
      </c>
      <c r="G121" s="7" t="s">
        <v>59</v>
      </c>
      <c r="H121" s="7" t="s">
        <v>31</v>
      </c>
      <c r="I121" s="7" t="s">
        <v>60</v>
      </c>
      <c r="J121" s="7">
        <v>3</v>
      </c>
      <c r="K121" s="9">
        <v>115000</v>
      </c>
      <c r="L121" s="9">
        <v>68000</v>
      </c>
      <c r="M121" s="9">
        <v>345000</v>
      </c>
      <c r="N121" s="9">
        <v>204000</v>
      </c>
      <c r="O121" s="9">
        <v>141000</v>
      </c>
      <c r="P121" s="10">
        <v>0.40869565217391313</v>
      </c>
      <c r="Q121" s="7" t="s">
        <v>25</v>
      </c>
      <c r="R121" s="7" t="s">
        <v>26</v>
      </c>
      <c r="S121" s="7">
        <f t="shared" si="3"/>
        <v>2025</v>
      </c>
      <c r="T121" s="7" t="str">
        <f t="shared" si="4"/>
        <v>may</v>
      </c>
      <c r="U121" s="15">
        <f t="shared" si="5"/>
        <v>45778</v>
      </c>
    </row>
    <row r="122" spans="1:21" x14ac:dyDescent="0.25">
      <c r="A122" s="7">
        <v>121</v>
      </c>
      <c r="B122" s="8">
        <v>45958</v>
      </c>
      <c r="C122" s="7" t="s">
        <v>18</v>
      </c>
      <c r="D122" s="7" t="s">
        <v>55</v>
      </c>
      <c r="E122" s="7" t="s">
        <v>51</v>
      </c>
      <c r="F122" s="7" t="s">
        <v>21</v>
      </c>
      <c r="G122" s="7" t="s">
        <v>46</v>
      </c>
      <c r="H122" s="7" t="s">
        <v>47</v>
      </c>
      <c r="I122" s="7" t="s">
        <v>48</v>
      </c>
      <c r="J122" s="7">
        <v>1</v>
      </c>
      <c r="K122" s="9">
        <v>520000</v>
      </c>
      <c r="L122" s="9">
        <v>365000</v>
      </c>
      <c r="M122" s="9">
        <v>520000</v>
      </c>
      <c r="N122" s="9">
        <v>365000</v>
      </c>
      <c r="O122" s="9">
        <v>155000</v>
      </c>
      <c r="P122" s="10">
        <v>0.29807692307692307</v>
      </c>
      <c r="Q122" s="7" t="s">
        <v>41</v>
      </c>
      <c r="R122" s="7" t="s">
        <v>26</v>
      </c>
      <c r="S122" s="7">
        <f t="shared" si="3"/>
        <v>2025</v>
      </c>
      <c r="T122" s="7" t="str">
        <f t="shared" si="4"/>
        <v>oct</v>
      </c>
      <c r="U122" s="15">
        <f t="shared" si="5"/>
        <v>45931</v>
      </c>
    </row>
    <row r="123" spans="1:21" x14ac:dyDescent="0.25">
      <c r="A123" s="7">
        <v>122</v>
      </c>
      <c r="B123" s="8">
        <v>45457</v>
      </c>
      <c r="C123" s="7" t="s">
        <v>18</v>
      </c>
      <c r="D123" s="7" t="s">
        <v>49</v>
      </c>
      <c r="E123" s="7" t="s">
        <v>20</v>
      </c>
      <c r="F123" s="7" t="s">
        <v>45</v>
      </c>
      <c r="G123" s="7" t="s">
        <v>43</v>
      </c>
      <c r="H123" s="7" t="s">
        <v>37</v>
      </c>
      <c r="I123" s="7" t="s">
        <v>44</v>
      </c>
      <c r="J123" s="7">
        <v>3</v>
      </c>
      <c r="K123" s="9">
        <v>45000</v>
      </c>
      <c r="L123" s="9">
        <v>21000</v>
      </c>
      <c r="M123" s="9">
        <v>135000</v>
      </c>
      <c r="N123" s="9">
        <v>63000</v>
      </c>
      <c r="O123" s="9">
        <v>72000</v>
      </c>
      <c r="P123" s="10">
        <v>0.53333333333333333</v>
      </c>
      <c r="Q123" s="7" t="s">
        <v>33</v>
      </c>
      <c r="R123" s="7" t="s">
        <v>26</v>
      </c>
      <c r="S123" s="7">
        <f t="shared" si="3"/>
        <v>2024</v>
      </c>
      <c r="T123" s="7" t="str">
        <f t="shared" si="4"/>
        <v>jun</v>
      </c>
      <c r="U123" s="15">
        <f t="shared" si="5"/>
        <v>45444</v>
      </c>
    </row>
    <row r="124" spans="1:21" x14ac:dyDescent="0.25">
      <c r="A124" s="7">
        <v>123</v>
      </c>
      <c r="B124" s="8">
        <v>45929</v>
      </c>
      <c r="C124" s="7" t="s">
        <v>27</v>
      </c>
      <c r="D124" s="7" t="s">
        <v>28</v>
      </c>
      <c r="E124" s="7" t="s">
        <v>29</v>
      </c>
      <c r="F124" s="7" t="s">
        <v>45</v>
      </c>
      <c r="G124" s="7" t="s">
        <v>30</v>
      </c>
      <c r="H124" s="7" t="s">
        <v>31</v>
      </c>
      <c r="I124" s="7" t="s">
        <v>32</v>
      </c>
      <c r="J124" s="7">
        <v>2</v>
      </c>
      <c r="K124" s="9">
        <v>220000</v>
      </c>
      <c r="L124" s="9">
        <v>145000</v>
      </c>
      <c r="M124" s="9">
        <v>440000</v>
      </c>
      <c r="N124" s="9">
        <v>290000</v>
      </c>
      <c r="O124" s="9">
        <v>150000</v>
      </c>
      <c r="P124" s="10">
        <v>0.34090909090909088</v>
      </c>
      <c r="Q124" s="7" t="s">
        <v>41</v>
      </c>
      <c r="R124" s="7" t="s">
        <v>26</v>
      </c>
      <c r="S124" s="7">
        <f t="shared" si="3"/>
        <v>2025</v>
      </c>
      <c r="T124" s="7" t="str">
        <f t="shared" si="4"/>
        <v>sept</v>
      </c>
      <c r="U124" s="15">
        <f t="shared" si="5"/>
        <v>45901</v>
      </c>
    </row>
    <row r="125" spans="1:21" x14ac:dyDescent="0.25">
      <c r="A125" s="7">
        <v>124</v>
      </c>
      <c r="B125" s="8">
        <v>45446</v>
      </c>
      <c r="C125" s="7" t="s">
        <v>18</v>
      </c>
      <c r="D125" s="7" t="s">
        <v>34</v>
      </c>
      <c r="E125" s="7" t="s">
        <v>35</v>
      </c>
      <c r="F125" s="7" t="s">
        <v>45</v>
      </c>
      <c r="G125" s="7" t="s">
        <v>52</v>
      </c>
      <c r="H125" s="7" t="s">
        <v>53</v>
      </c>
      <c r="I125" s="7" t="s">
        <v>54</v>
      </c>
      <c r="J125" s="7">
        <v>1</v>
      </c>
      <c r="K125" s="9">
        <v>115000</v>
      </c>
      <c r="L125" s="9">
        <v>68000</v>
      </c>
      <c r="M125" s="9">
        <v>115000</v>
      </c>
      <c r="N125" s="9">
        <v>68000</v>
      </c>
      <c r="O125" s="9">
        <v>47000</v>
      </c>
      <c r="P125" s="10">
        <v>0.40869565217391313</v>
      </c>
      <c r="Q125" s="7" t="s">
        <v>41</v>
      </c>
      <c r="R125" s="7" t="s">
        <v>26</v>
      </c>
      <c r="S125" s="7">
        <f t="shared" si="3"/>
        <v>2024</v>
      </c>
      <c r="T125" s="7" t="str">
        <f t="shared" si="4"/>
        <v>jun</v>
      </c>
      <c r="U125" s="15">
        <f t="shared" si="5"/>
        <v>45444</v>
      </c>
    </row>
    <row r="126" spans="1:21" x14ac:dyDescent="0.25">
      <c r="A126" s="7">
        <v>125</v>
      </c>
      <c r="B126" s="8">
        <v>45727</v>
      </c>
      <c r="C126" s="7" t="s">
        <v>18</v>
      </c>
      <c r="D126" s="7" t="s">
        <v>34</v>
      </c>
      <c r="E126" s="7" t="s">
        <v>35</v>
      </c>
      <c r="F126" s="7" t="s">
        <v>45</v>
      </c>
      <c r="G126" s="7" t="s">
        <v>56</v>
      </c>
      <c r="H126" s="7" t="s">
        <v>57</v>
      </c>
      <c r="I126" s="7" t="s">
        <v>58</v>
      </c>
      <c r="J126" s="7">
        <v>2</v>
      </c>
      <c r="K126" s="9">
        <v>115000</v>
      </c>
      <c r="L126" s="9">
        <v>68000</v>
      </c>
      <c r="M126" s="9">
        <v>230000</v>
      </c>
      <c r="N126" s="9">
        <v>136000</v>
      </c>
      <c r="O126" s="9">
        <v>94000</v>
      </c>
      <c r="P126" s="10">
        <v>0.40869565217391313</v>
      </c>
      <c r="Q126" s="7" t="s">
        <v>25</v>
      </c>
      <c r="R126" s="7" t="s">
        <v>26</v>
      </c>
      <c r="S126" s="7">
        <f t="shared" si="3"/>
        <v>2025</v>
      </c>
      <c r="T126" s="7" t="str">
        <f t="shared" si="4"/>
        <v>mar</v>
      </c>
      <c r="U126" s="15">
        <f t="shared" si="5"/>
        <v>45717</v>
      </c>
    </row>
    <row r="127" spans="1:21" x14ac:dyDescent="0.25">
      <c r="A127" s="7">
        <v>126</v>
      </c>
      <c r="B127" s="8">
        <v>45903</v>
      </c>
      <c r="C127" s="7" t="s">
        <v>27</v>
      </c>
      <c r="D127" s="7" t="s">
        <v>61</v>
      </c>
      <c r="E127" s="7" t="s">
        <v>29</v>
      </c>
      <c r="F127" s="7" t="s">
        <v>21</v>
      </c>
      <c r="G127" s="7" t="s">
        <v>59</v>
      </c>
      <c r="H127" s="7" t="s">
        <v>31</v>
      </c>
      <c r="I127" s="7" t="s">
        <v>60</v>
      </c>
      <c r="J127" s="7">
        <v>3</v>
      </c>
      <c r="K127" s="9">
        <v>390000</v>
      </c>
      <c r="L127" s="9">
        <v>270000</v>
      </c>
      <c r="M127" s="9">
        <v>1170000</v>
      </c>
      <c r="N127" s="9">
        <v>810000</v>
      </c>
      <c r="O127" s="9">
        <v>360000</v>
      </c>
      <c r="P127" s="10">
        <v>0.30769230769230771</v>
      </c>
      <c r="Q127" s="7" t="s">
        <v>33</v>
      </c>
      <c r="R127" s="7" t="s">
        <v>26</v>
      </c>
      <c r="S127" s="7">
        <f t="shared" si="3"/>
        <v>2025</v>
      </c>
      <c r="T127" s="7" t="str">
        <f t="shared" si="4"/>
        <v>sept</v>
      </c>
      <c r="U127" s="15">
        <f t="shared" si="5"/>
        <v>45901</v>
      </c>
    </row>
    <row r="128" spans="1:21" x14ac:dyDescent="0.25">
      <c r="A128" s="7">
        <v>127</v>
      </c>
      <c r="B128" s="8">
        <v>45388</v>
      </c>
      <c r="C128" s="7" t="s">
        <v>27</v>
      </c>
      <c r="D128" s="7" t="s">
        <v>28</v>
      </c>
      <c r="E128" s="7" t="s">
        <v>29</v>
      </c>
      <c r="F128" s="7" t="s">
        <v>21</v>
      </c>
      <c r="G128" s="7" t="s">
        <v>36</v>
      </c>
      <c r="H128" s="7" t="s">
        <v>37</v>
      </c>
      <c r="I128" s="7" t="s">
        <v>38</v>
      </c>
      <c r="J128" s="7">
        <v>2</v>
      </c>
      <c r="K128" s="9">
        <v>220000</v>
      </c>
      <c r="L128" s="9">
        <v>145000</v>
      </c>
      <c r="M128" s="9">
        <v>440000</v>
      </c>
      <c r="N128" s="9">
        <v>290000</v>
      </c>
      <c r="O128" s="9">
        <v>150000</v>
      </c>
      <c r="P128" s="10">
        <v>0.34090909090909088</v>
      </c>
      <c r="Q128" s="7" t="s">
        <v>33</v>
      </c>
      <c r="R128" s="7" t="s">
        <v>26</v>
      </c>
      <c r="S128" s="7">
        <f t="shared" si="3"/>
        <v>2024</v>
      </c>
      <c r="T128" s="7" t="str">
        <f t="shared" si="4"/>
        <v>abr</v>
      </c>
      <c r="U128" s="15">
        <f t="shared" si="5"/>
        <v>45383</v>
      </c>
    </row>
    <row r="129" spans="1:21" x14ac:dyDescent="0.25">
      <c r="A129" s="7">
        <v>128</v>
      </c>
      <c r="B129" s="8">
        <v>45697</v>
      </c>
      <c r="C129" s="7" t="s">
        <v>18</v>
      </c>
      <c r="D129" s="7" t="s">
        <v>49</v>
      </c>
      <c r="E129" s="7" t="s">
        <v>20</v>
      </c>
      <c r="F129" s="7" t="s">
        <v>21</v>
      </c>
      <c r="G129" s="7" t="s">
        <v>46</v>
      </c>
      <c r="H129" s="7" t="s">
        <v>47</v>
      </c>
      <c r="I129" s="7" t="s">
        <v>48</v>
      </c>
      <c r="J129" s="7">
        <v>2</v>
      </c>
      <c r="K129" s="9">
        <v>45000</v>
      </c>
      <c r="L129" s="9">
        <v>21000</v>
      </c>
      <c r="M129" s="9">
        <v>90000</v>
      </c>
      <c r="N129" s="9">
        <v>42000</v>
      </c>
      <c r="O129" s="9">
        <v>48000</v>
      </c>
      <c r="P129" s="10">
        <v>0.53333333333333333</v>
      </c>
      <c r="Q129" s="7" t="s">
        <v>41</v>
      </c>
      <c r="R129" s="7" t="s">
        <v>26</v>
      </c>
      <c r="S129" s="7">
        <f t="shared" si="3"/>
        <v>2025</v>
      </c>
      <c r="T129" s="7" t="str">
        <f t="shared" si="4"/>
        <v>feb</v>
      </c>
      <c r="U129" s="15">
        <f t="shared" si="5"/>
        <v>45689</v>
      </c>
    </row>
    <row r="130" spans="1:21" x14ac:dyDescent="0.25">
      <c r="A130" s="7">
        <v>129</v>
      </c>
      <c r="B130" s="8">
        <v>45718</v>
      </c>
      <c r="C130" s="7" t="s">
        <v>27</v>
      </c>
      <c r="D130" s="7" t="s">
        <v>19</v>
      </c>
      <c r="E130" s="7" t="s">
        <v>20</v>
      </c>
      <c r="F130" s="7" t="s">
        <v>45</v>
      </c>
      <c r="G130" s="7" t="s">
        <v>43</v>
      </c>
      <c r="H130" s="7" t="s">
        <v>37</v>
      </c>
      <c r="I130" s="7" t="s">
        <v>44</v>
      </c>
      <c r="J130" s="7">
        <v>2</v>
      </c>
      <c r="K130" s="9">
        <v>24000</v>
      </c>
      <c r="L130" s="9">
        <v>9500</v>
      </c>
      <c r="M130" s="9">
        <v>48000</v>
      </c>
      <c r="N130" s="9">
        <v>19000</v>
      </c>
      <c r="O130" s="9">
        <v>29000</v>
      </c>
      <c r="P130" s="10">
        <v>0.60416666666666663</v>
      </c>
      <c r="Q130" s="7" t="s">
        <v>25</v>
      </c>
      <c r="R130" s="7" t="s">
        <v>26</v>
      </c>
      <c r="S130" s="7">
        <f t="shared" ref="S130:S193" si="6">YEAR(B130)</f>
        <v>2025</v>
      </c>
      <c r="T130" s="7" t="str">
        <f t="shared" ref="T130:T193" si="7">TEXT(B130,"mmm")</f>
        <v>mar</v>
      </c>
      <c r="U130" s="15">
        <f t="shared" ref="U130:U193" si="8">DATE(YEAR(B130),MONTH(B130),1)</f>
        <v>45717</v>
      </c>
    </row>
    <row r="131" spans="1:21" x14ac:dyDescent="0.25">
      <c r="A131" s="7">
        <v>130</v>
      </c>
      <c r="B131" s="8">
        <v>45487</v>
      </c>
      <c r="C131" s="7" t="s">
        <v>18</v>
      </c>
      <c r="D131" s="7" t="s">
        <v>40</v>
      </c>
      <c r="E131" s="7" t="s">
        <v>35</v>
      </c>
      <c r="F131" s="7" t="s">
        <v>45</v>
      </c>
      <c r="G131" s="7" t="s">
        <v>30</v>
      </c>
      <c r="H131" s="7" t="s">
        <v>31</v>
      </c>
      <c r="I131" s="7" t="s">
        <v>32</v>
      </c>
      <c r="J131" s="7">
        <v>1</v>
      </c>
      <c r="K131" s="9">
        <v>185000</v>
      </c>
      <c r="L131" s="9">
        <v>108000</v>
      </c>
      <c r="M131" s="9">
        <v>185000</v>
      </c>
      <c r="N131" s="9">
        <v>108000</v>
      </c>
      <c r="O131" s="9">
        <v>77000</v>
      </c>
      <c r="P131" s="10">
        <v>0.41621621621621618</v>
      </c>
      <c r="Q131" s="7" t="s">
        <v>25</v>
      </c>
      <c r="R131" s="7" t="s">
        <v>26</v>
      </c>
      <c r="S131" s="7">
        <f t="shared" si="6"/>
        <v>2024</v>
      </c>
      <c r="T131" s="7" t="str">
        <f t="shared" si="7"/>
        <v>jul</v>
      </c>
      <c r="U131" s="15">
        <f t="shared" si="8"/>
        <v>45474</v>
      </c>
    </row>
    <row r="132" spans="1:21" x14ac:dyDescent="0.25">
      <c r="A132" s="7">
        <v>131</v>
      </c>
      <c r="B132" s="8">
        <v>45501</v>
      </c>
      <c r="C132" s="7" t="s">
        <v>18</v>
      </c>
      <c r="D132" s="7" t="s">
        <v>61</v>
      </c>
      <c r="E132" s="7" t="s">
        <v>29</v>
      </c>
      <c r="F132" s="7" t="s">
        <v>21</v>
      </c>
      <c r="G132" s="7" t="s">
        <v>43</v>
      </c>
      <c r="H132" s="7" t="s">
        <v>37</v>
      </c>
      <c r="I132" s="7" t="s">
        <v>44</v>
      </c>
      <c r="J132" s="7">
        <v>2</v>
      </c>
      <c r="K132" s="9">
        <v>390000</v>
      </c>
      <c r="L132" s="9">
        <v>270000</v>
      </c>
      <c r="M132" s="9">
        <v>780000</v>
      </c>
      <c r="N132" s="9">
        <v>540000</v>
      </c>
      <c r="O132" s="9">
        <v>240000</v>
      </c>
      <c r="P132" s="10">
        <v>0.30769230769230771</v>
      </c>
      <c r="Q132" s="7" t="s">
        <v>41</v>
      </c>
      <c r="R132" s="7" t="s">
        <v>26</v>
      </c>
      <c r="S132" s="7">
        <f t="shared" si="6"/>
        <v>2024</v>
      </c>
      <c r="T132" s="7" t="str">
        <f t="shared" si="7"/>
        <v>jul</v>
      </c>
      <c r="U132" s="15">
        <f t="shared" si="8"/>
        <v>45474</v>
      </c>
    </row>
    <row r="133" spans="1:21" x14ac:dyDescent="0.25">
      <c r="A133" s="7">
        <v>132</v>
      </c>
      <c r="B133" s="8">
        <v>45614</v>
      </c>
      <c r="C133" s="7" t="s">
        <v>27</v>
      </c>
      <c r="D133" s="7" t="s">
        <v>61</v>
      </c>
      <c r="E133" s="7" t="s">
        <v>29</v>
      </c>
      <c r="F133" s="7" t="s">
        <v>21</v>
      </c>
      <c r="G133" s="7" t="s">
        <v>59</v>
      </c>
      <c r="H133" s="7" t="s">
        <v>31</v>
      </c>
      <c r="I133" s="7" t="s">
        <v>60</v>
      </c>
      <c r="J133" s="7">
        <v>2</v>
      </c>
      <c r="K133" s="9">
        <v>390000</v>
      </c>
      <c r="L133" s="9">
        <v>270000</v>
      </c>
      <c r="M133" s="9">
        <v>780000</v>
      </c>
      <c r="N133" s="9">
        <v>540000</v>
      </c>
      <c r="O133" s="9">
        <v>240000</v>
      </c>
      <c r="P133" s="10">
        <v>0.30769230769230771</v>
      </c>
      <c r="Q133" s="7" t="s">
        <v>33</v>
      </c>
      <c r="R133" s="7" t="s">
        <v>26</v>
      </c>
      <c r="S133" s="7">
        <f t="shared" si="6"/>
        <v>2024</v>
      </c>
      <c r="T133" s="7" t="str">
        <f t="shared" si="7"/>
        <v>nov</v>
      </c>
      <c r="U133" s="15">
        <f t="shared" si="8"/>
        <v>45597</v>
      </c>
    </row>
    <row r="134" spans="1:21" x14ac:dyDescent="0.25">
      <c r="A134" s="7">
        <v>133</v>
      </c>
      <c r="B134" s="8">
        <v>45594</v>
      </c>
      <c r="C134" s="7" t="s">
        <v>18</v>
      </c>
      <c r="D134" s="7" t="s">
        <v>28</v>
      </c>
      <c r="E134" s="7" t="s">
        <v>29</v>
      </c>
      <c r="F134" s="7" t="s">
        <v>21</v>
      </c>
      <c r="G134" s="7" t="s">
        <v>46</v>
      </c>
      <c r="H134" s="7" t="s">
        <v>47</v>
      </c>
      <c r="I134" s="7" t="s">
        <v>48</v>
      </c>
      <c r="J134" s="7">
        <v>1</v>
      </c>
      <c r="K134" s="9">
        <v>220000</v>
      </c>
      <c r="L134" s="9">
        <v>145000</v>
      </c>
      <c r="M134" s="9">
        <v>220000</v>
      </c>
      <c r="N134" s="9">
        <v>145000</v>
      </c>
      <c r="O134" s="9">
        <v>75000</v>
      </c>
      <c r="P134" s="10">
        <v>0.34090909090909088</v>
      </c>
      <c r="Q134" s="7" t="s">
        <v>39</v>
      </c>
      <c r="R134" s="7" t="s">
        <v>26</v>
      </c>
      <c r="S134" s="7">
        <f t="shared" si="6"/>
        <v>2024</v>
      </c>
      <c r="T134" s="7" t="str">
        <f t="shared" si="7"/>
        <v>oct</v>
      </c>
      <c r="U134" s="15">
        <f t="shared" si="8"/>
        <v>45566</v>
      </c>
    </row>
    <row r="135" spans="1:21" x14ac:dyDescent="0.25">
      <c r="A135" s="7">
        <v>134</v>
      </c>
      <c r="B135" s="8">
        <v>45965</v>
      </c>
      <c r="C135" s="7" t="s">
        <v>18</v>
      </c>
      <c r="D135" s="7" t="s">
        <v>61</v>
      </c>
      <c r="E135" s="7" t="s">
        <v>29</v>
      </c>
      <c r="F135" s="7" t="s">
        <v>21</v>
      </c>
      <c r="G135" s="7" t="s">
        <v>59</v>
      </c>
      <c r="H135" s="7" t="s">
        <v>31</v>
      </c>
      <c r="I135" s="7" t="s">
        <v>60</v>
      </c>
      <c r="J135" s="7">
        <v>3</v>
      </c>
      <c r="K135" s="9">
        <v>390000</v>
      </c>
      <c r="L135" s="9">
        <v>270000</v>
      </c>
      <c r="M135" s="9">
        <v>1170000</v>
      </c>
      <c r="N135" s="9">
        <v>810000</v>
      </c>
      <c r="O135" s="9">
        <v>360000</v>
      </c>
      <c r="P135" s="10">
        <v>0.30769230769230771</v>
      </c>
      <c r="Q135" s="7" t="s">
        <v>41</v>
      </c>
      <c r="R135" s="7" t="s">
        <v>26</v>
      </c>
      <c r="S135" s="7">
        <f t="shared" si="6"/>
        <v>2025</v>
      </c>
      <c r="T135" s="7" t="str">
        <f t="shared" si="7"/>
        <v>nov</v>
      </c>
      <c r="U135" s="15">
        <f t="shared" si="8"/>
        <v>45962</v>
      </c>
    </row>
    <row r="136" spans="1:21" x14ac:dyDescent="0.25">
      <c r="A136" s="7">
        <v>135</v>
      </c>
      <c r="B136" s="8">
        <v>45974</v>
      </c>
      <c r="C136" s="7" t="s">
        <v>18</v>
      </c>
      <c r="D136" s="7" t="s">
        <v>19</v>
      </c>
      <c r="E136" s="7" t="s">
        <v>20</v>
      </c>
      <c r="F136" s="7" t="s">
        <v>21</v>
      </c>
      <c r="G136" s="7" t="s">
        <v>36</v>
      </c>
      <c r="H136" s="7" t="s">
        <v>37</v>
      </c>
      <c r="I136" s="7" t="s">
        <v>38</v>
      </c>
      <c r="J136" s="7">
        <v>4</v>
      </c>
      <c r="K136" s="9">
        <v>24000</v>
      </c>
      <c r="L136" s="9">
        <v>9500</v>
      </c>
      <c r="M136" s="9">
        <v>96000</v>
      </c>
      <c r="N136" s="9">
        <v>38000</v>
      </c>
      <c r="O136" s="9">
        <v>58000</v>
      </c>
      <c r="P136" s="10">
        <v>0.60416666666666663</v>
      </c>
      <c r="Q136" s="7" t="s">
        <v>39</v>
      </c>
      <c r="R136" s="7" t="s">
        <v>26</v>
      </c>
      <c r="S136" s="7">
        <f t="shared" si="6"/>
        <v>2025</v>
      </c>
      <c r="T136" s="7" t="str">
        <f t="shared" si="7"/>
        <v>nov</v>
      </c>
      <c r="U136" s="15">
        <f t="shared" si="8"/>
        <v>45962</v>
      </c>
    </row>
    <row r="137" spans="1:21" x14ac:dyDescent="0.25">
      <c r="A137" s="7">
        <v>136</v>
      </c>
      <c r="B137" s="8">
        <v>45963</v>
      </c>
      <c r="C137" s="7" t="s">
        <v>18</v>
      </c>
      <c r="D137" s="7" t="s">
        <v>34</v>
      </c>
      <c r="E137" s="7" t="s">
        <v>35</v>
      </c>
      <c r="F137" s="7" t="s">
        <v>45</v>
      </c>
      <c r="G137" s="7" t="s">
        <v>59</v>
      </c>
      <c r="H137" s="7" t="s">
        <v>31</v>
      </c>
      <c r="I137" s="7" t="s">
        <v>60</v>
      </c>
      <c r="J137" s="7">
        <v>3</v>
      </c>
      <c r="K137" s="9">
        <v>115000</v>
      </c>
      <c r="L137" s="9">
        <v>68000</v>
      </c>
      <c r="M137" s="9">
        <v>345000</v>
      </c>
      <c r="N137" s="9">
        <v>204000</v>
      </c>
      <c r="O137" s="9">
        <v>141000</v>
      </c>
      <c r="P137" s="10">
        <v>0.40869565217391313</v>
      </c>
      <c r="Q137" s="7" t="s">
        <v>39</v>
      </c>
      <c r="R137" s="7" t="s">
        <v>26</v>
      </c>
      <c r="S137" s="7">
        <f t="shared" si="6"/>
        <v>2025</v>
      </c>
      <c r="T137" s="7" t="str">
        <f t="shared" si="7"/>
        <v>nov</v>
      </c>
      <c r="U137" s="15">
        <f t="shared" si="8"/>
        <v>45962</v>
      </c>
    </row>
    <row r="138" spans="1:21" x14ac:dyDescent="0.25">
      <c r="A138" s="7">
        <v>137</v>
      </c>
      <c r="B138" s="8">
        <v>46013</v>
      </c>
      <c r="C138" s="7" t="s">
        <v>27</v>
      </c>
      <c r="D138" s="7" t="s">
        <v>19</v>
      </c>
      <c r="E138" s="7" t="s">
        <v>20</v>
      </c>
      <c r="F138" s="7" t="s">
        <v>45</v>
      </c>
      <c r="G138" s="7" t="s">
        <v>52</v>
      </c>
      <c r="H138" s="7" t="s">
        <v>53</v>
      </c>
      <c r="I138" s="7" t="s">
        <v>54</v>
      </c>
      <c r="J138" s="7">
        <v>2</v>
      </c>
      <c r="K138" s="9">
        <v>24000</v>
      </c>
      <c r="L138" s="9">
        <v>9500</v>
      </c>
      <c r="M138" s="9">
        <v>48000</v>
      </c>
      <c r="N138" s="9">
        <v>19000</v>
      </c>
      <c r="O138" s="9">
        <v>29000</v>
      </c>
      <c r="P138" s="10">
        <v>0.60416666666666663</v>
      </c>
      <c r="Q138" s="7" t="s">
        <v>39</v>
      </c>
      <c r="R138" s="7" t="s">
        <v>26</v>
      </c>
      <c r="S138" s="7">
        <f t="shared" si="6"/>
        <v>2025</v>
      </c>
      <c r="T138" s="7" t="str">
        <f t="shared" si="7"/>
        <v>dic</v>
      </c>
      <c r="U138" s="15">
        <f t="shared" si="8"/>
        <v>45992</v>
      </c>
    </row>
    <row r="139" spans="1:21" x14ac:dyDescent="0.25">
      <c r="A139" s="7">
        <v>138</v>
      </c>
      <c r="B139" s="8">
        <v>45783</v>
      </c>
      <c r="C139" s="7" t="s">
        <v>18</v>
      </c>
      <c r="D139" s="7" t="s">
        <v>62</v>
      </c>
      <c r="E139" s="7" t="s">
        <v>20</v>
      </c>
      <c r="F139" s="7" t="s">
        <v>21</v>
      </c>
      <c r="G139" s="7" t="s">
        <v>22</v>
      </c>
      <c r="H139" s="7" t="s">
        <v>23</v>
      </c>
      <c r="I139" s="7" t="s">
        <v>24</v>
      </c>
      <c r="J139" s="7">
        <v>1</v>
      </c>
      <c r="K139" s="9">
        <v>28000</v>
      </c>
      <c r="L139" s="9">
        <v>11000</v>
      </c>
      <c r="M139" s="9">
        <v>28000</v>
      </c>
      <c r="N139" s="9">
        <v>11000</v>
      </c>
      <c r="O139" s="9">
        <v>17000</v>
      </c>
      <c r="P139" s="10">
        <v>0.6071428571428571</v>
      </c>
      <c r="Q139" s="7" t="s">
        <v>39</v>
      </c>
      <c r="R139" s="7" t="s">
        <v>26</v>
      </c>
      <c r="S139" s="7">
        <f t="shared" si="6"/>
        <v>2025</v>
      </c>
      <c r="T139" s="7" t="str">
        <f t="shared" si="7"/>
        <v>may</v>
      </c>
      <c r="U139" s="15">
        <f t="shared" si="8"/>
        <v>45778</v>
      </c>
    </row>
    <row r="140" spans="1:21" x14ac:dyDescent="0.25">
      <c r="A140" s="7">
        <v>139</v>
      </c>
      <c r="B140" s="8">
        <v>46013</v>
      </c>
      <c r="C140" s="7" t="s">
        <v>27</v>
      </c>
      <c r="D140" s="7" t="s">
        <v>42</v>
      </c>
      <c r="E140" s="7" t="s">
        <v>29</v>
      </c>
      <c r="F140" s="7" t="s">
        <v>45</v>
      </c>
      <c r="G140" s="7" t="s">
        <v>52</v>
      </c>
      <c r="H140" s="7" t="s">
        <v>53</v>
      </c>
      <c r="I140" s="7" t="s">
        <v>54</v>
      </c>
      <c r="J140" s="7">
        <v>2</v>
      </c>
      <c r="K140" s="9">
        <v>780000</v>
      </c>
      <c r="L140" s="9">
        <v>590000</v>
      </c>
      <c r="M140" s="9">
        <v>1560000</v>
      </c>
      <c r="N140" s="9">
        <v>1180000</v>
      </c>
      <c r="O140" s="9">
        <v>380000</v>
      </c>
      <c r="P140" s="10">
        <v>0.24358974358974361</v>
      </c>
      <c r="Q140" s="7" t="s">
        <v>41</v>
      </c>
      <c r="R140" s="7" t="s">
        <v>26</v>
      </c>
      <c r="S140" s="7">
        <f t="shared" si="6"/>
        <v>2025</v>
      </c>
      <c r="T140" s="7" t="str">
        <f t="shared" si="7"/>
        <v>dic</v>
      </c>
      <c r="U140" s="15">
        <f t="shared" si="8"/>
        <v>45992</v>
      </c>
    </row>
    <row r="141" spans="1:21" x14ac:dyDescent="0.25">
      <c r="A141" s="7">
        <v>140</v>
      </c>
      <c r="B141" s="8">
        <v>45402</v>
      </c>
      <c r="C141" s="7" t="s">
        <v>27</v>
      </c>
      <c r="D141" s="7" t="s">
        <v>49</v>
      </c>
      <c r="E141" s="7" t="s">
        <v>20</v>
      </c>
      <c r="F141" s="7" t="s">
        <v>21</v>
      </c>
      <c r="G141" s="7" t="s">
        <v>43</v>
      </c>
      <c r="H141" s="7" t="s">
        <v>37</v>
      </c>
      <c r="I141" s="7" t="s">
        <v>44</v>
      </c>
      <c r="J141" s="7">
        <v>4</v>
      </c>
      <c r="K141" s="9">
        <v>45000</v>
      </c>
      <c r="L141" s="9">
        <v>21000</v>
      </c>
      <c r="M141" s="9">
        <v>180000</v>
      </c>
      <c r="N141" s="9">
        <v>84000</v>
      </c>
      <c r="O141" s="9">
        <v>96000</v>
      </c>
      <c r="P141" s="10">
        <v>0.53333333333333333</v>
      </c>
      <c r="Q141" s="7" t="s">
        <v>33</v>
      </c>
      <c r="R141" s="7" t="s">
        <v>26</v>
      </c>
      <c r="S141" s="7">
        <f t="shared" si="6"/>
        <v>2024</v>
      </c>
      <c r="T141" s="7" t="str">
        <f t="shared" si="7"/>
        <v>abr</v>
      </c>
      <c r="U141" s="15">
        <f t="shared" si="8"/>
        <v>45383</v>
      </c>
    </row>
    <row r="142" spans="1:21" x14ac:dyDescent="0.25">
      <c r="A142" s="7">
        <v>141</v>
      </c>
      <c r="B142" s="8">
        <v>45783</v>
      </c>
      <c r="C142" s="7" t="s">
        <v>27</v>
      </c>
      <c r="D142" s="7" t="s">
        <v>19</v>
      </c>
      <c r="E142" s="7" t="s">
        <v>20</v>
      </c>
      <c r="F142" s="7" t="s">
        <v>45</v>
      </c>
      <c r="G142" s="7" t="s">
        <v>30</v>
      </c>
      <c r="H142" s="7" t="s">
        <v>31</v>
      </c>
      <c r="I142" s="7" t="s">
        <v>32</v>
      </c>
      <c r="J142" s="7">
        <v>2</v>
      </c>
      <c r="K142" s="9">
        <v>24000</v>
      </c>
      <c r="L142" s="9">
        <v>9500</v>
      </c>
      <c r="M142" s="9">
        <v>48000</v>
      </c>
      <c r="N142" s="9">
        <v>19000</v>
      </c>
      <c r="O142" s="9">
        <v>29000</v>
      </c>
      <c r="P142" s="10">
        <v>0.60416666666666663</v>
      </c>
      <c r="Q142" s="7" t="s">
        <v>33</v>
      </c>
      <c r="R142" s="7" t="s">
        <v>26</v>
      </c>
      <c r="S142" s="7">
        <f t="shared" si="6"/>
        <v>2025</v>
      </c>
      <c r="T142" s="7" t="str">
        <f t="shared" si="7"/>
        <v>may</v>
      </c>
      <c r="U142" s="15">
        <f t="shared" si="8"/>
        <v>45778</v>
      </c>
    </row>
    <row r="143" spans="1:21" x14ac:dyDescent="0.25">
      <c r="A143" s="7">
        <v>142</v>
      </c>
      <c r="B143" s="8">
        <v>45460</v>
      </c>
      <c r="C143" s="7" t="s">
        <v>27</v>
      </c>
      <c r="D143" s="7" t="s">
        <v>34</v>
      </c>
      <c r="E143" s="7" t="s">
        <v>35</v>
      </c>
      <c r="F143" s="7" t="s">
        <v>21</v>
      </c>
      <c r="G143" s="7" t="s">
        <v>46</v>
      </c>
      <c r="H143" s="7" t="s">
        <v>47</v>
      </c>
      <c r="I143" s="7" t="s">
        <v>48</v>
      </c>
      <c r="J143" s="7">
        <v>4</v>
      </c>
      <c r="K143" s="9">
        <v>115000</v>
      </c>
      <c r="L143" s="9">
        <v>68000</v>
      </c>
      <c r="M143" s="9">
        <v>460000</v>
      </c>
      <c r="N143" s="9">
        <v>272000</v>
      </c>
      <c r="O143" s="9">
        <v>188000</v>
      </c>
      <c r="P143" s="10">
        <v>0.40869565217391313</v>
      </c>
      <c r="Q143" s="7" t="s">
        <v>41</v>
      </c>
      <c r="R143" s="7" t="s">
        <v>26</v>
      </c>
      <c r="S143" s="7">
        <f t="shared" si="6"/>
        <v>2024</v>
      </c>
      <c r="T143" s="7" t="str">
        <f t="shared" si="7"/>
        <v>jun</v>
      </c>
      <c r="U143" s="15">
        <f t="shared" si="8"/>
        <v>45444</v>
      </c>
    </row>
    <row r="144" spans="1:21" x14ac:dyDescent="0.25">
      <c r="A144" s="7">
        <v>143</v>
      </c>
      <c r="B144" s="8">
        <v>45959</v>
      </c>
      <c r="C144" s="7" t="s">
        <v>18</v>
      </c>
      <c r="D144" s="7" t="s">
        <v>49</v>
      </c>
      <c r="E144" s="7" t="s">
        <v>20</v>
      </c>
      <c r="F144" s="7" t="s">
        <v>45</v>
      </c>
      <c r="G144" s="7" t="s">
        <v>36</v>
      </c>
      <c r="H144" s="7" t="s">
        <v>37</v>
      </c>
      <c r="I144" s="7" t="s">
        <v>38</v>
      </c>
      <c r="J144" s="7">
        <v>1</v>
      </c>
      <c r="K144" s="9">
        <v>45000</v>
      </c>
      <c r="L144" s="9">
        <v>21000</v>
      </c>
      <c r="M144" s="9">
        <v>45000</v>
      </c>
      <c r="N144" s="9">
        <v>21000</v>
      </c>
      <c r="O144" s="9">
        <v>24000</v>
      </c>
      <c r="P144" s="10">
        <v>0.53333333333333333</v>
      </c>
      <c r="Q144" s="7" t="s">
        <v>41</v>
      </c>
      <c r="R144" s="7" t="s">
        <v>26</v>
      </c>
      <c r="S144" s="7">
        <f t="shared" si="6"/>
        <v>2025</v>
      </c>
      <c r="T144" s="7" t="str">
        <f t="shared" si="7"/>
        <v>oct</v>
      </c>
      <c r="U144" s="15">
        <f t="shared" si="8"/>
        <v>45931</v>
      </c>
    </row>
    <row r="145" spans="1:21" x14ac:dyDescent="0.25">
      <c r="A145" s="7">
        <v>144</v>
      </c>
      <c r="B145" s="8">
        <v>45719</v>
      </c>
      <c r="C145" s="7" t="s">
        <v>27</v>
      </c>
      <c r="D145" s="7" t="s">
        <v>34</v>
      </c>
      <c r="E145" s="7" t="s">
        <v>35</v>
      </c>
      <c r="F145" s="7" t="s">
        <v>21</v>
      </c>
      <c r="G145" s="7" t="s">
        <v>56</v>
      </c>
      <c r="H145" s="7" t="s">
        <v>57</v>
      </c>
      <c r="I145" s="7" t="s">
        <v>58</v>
      </c>
      <c r="J145" s="7">
        <v>4</v>
      </c>
      <c r="K145" s="9">
        <v>115000</v>
      </c>
      <c r="L145" s="9">
        <v>68000</v>
      </c>
      <c r="M145" s="9">
        <v>460000</v>
      </c>
      <c r="N145" s="9">
        <v>272000</v>
      </c>
      <c r="O145" s="9">
        <v>188000</v>
      </c>
      <c r="P145" s="10">
        <v>0.40869565217391313</v>
      </c>
      <c r="Q145" s="7" t="s">
        <v>39</v>
      </c>
      <c r="R145" s="7" t="s">
        <v>26</v>
      </c>
      <c r="S145" s="7">
        <f t="shared" si="6"/>
        <v>2025</v>
      </c>
      <c r="T145" s="7" t="str">
        <f t="shared" si="7"/>
        <v>mar</v>
      </c>
      <c r="U145" s="15">
        <f t="shared" si="8"/>
        <v>45717</v>
      </c>
    </row>
    <row r="146" spans="1:21" x14ac:dyDescent="0.25">
      <c r="A146" s="7">
        <v>145</v>
      </c>
      <c r="B146" s="8">
        <v>45485</v>
      </c>
      <c r="C146" s="7" t="s">
        <v>18</v>
      </c>
      <c r="D146" s="7" t="s">
        <v>40</v>
      </c>
      <c r="E146" s="7" t="s">
        <v>35</v>
      </c>
      <c r="F146" s="7" t="s">
        <v>45</v>
      </c>
      <c r="G146" s="7" t="s">
        <v>56</v>
      </c>
      <c r="H146" s="7" t="s">
        <v>57</v>
      </c>
      <c r="I146" s="7" t="s">
        <v>58</v>
      </c>
      <c r="J146" s="7">
        <v>2</v>
      </c>
      <c r="K146" s="9">
        <v>185000</v>
      </c>
      <c r="L146" s="9">
        <v>108000</v>
      </c>
      <c r="M146" s="9">
        <v>370000</v>
      </c>
      <c r="N146" s="9">
        <v>216000</v>
      </c>
      <c r="O146" s="9">
        <v>154000</v>
      </c>
      <c r="P146" s="10">
        <v>0.41621621621621618</v>
      </c>
      <c r="Q146" s="7" t="s">
        <v>25</v>
      </c>
      <c r="R146" s="7" t="s">
        <v>26</v>
      </c>
      <c r="S146" s="7">
        <f t="shared" si="6"/>
        <v>2024</v>
      </c>
      <c r="T146" s="7" t="str">
        <f t="shared" si="7"/>
        <v>jul</v>
      </c>
      <c r="U146" s="15">
        <f t="shared" si="8"/>
        <v>45474</v>
      </c>
    </row>
    <row r="147" spans="1:21" x14ac:dyDescent="0.25">
      <c r="A147" s="7">
        <v>146</v>
      </c>
      <c r="B147" s="8">
        <v>45493</v>
      </c>
      <c r="C147" s="7" t="s">
        <v>18</v>
      </c>
      <c r="D147" s="7" t="s">
        <v>28</v>
      </c>
      <c r="E147" s="7" t="s">
        <v>29</v>
      </c>
      <c r="F147" s="7" t="s">
        <v>45</v>
      </c>
      <c r="G147" s="7" t="s">
        <v>22</v>
      </c>
      <c r="H147" s="7" t="s">
        <v>23</v>
      </c>
      <c r="I147" s="7" t="s">
        <v>24</v>
      </c>
      <c r="J147" s="7">
        <v>3</v>
      </c>
      <c r="K147" s="9">
        <v>220000</v>
      </c>
      <c r="L147" s="9">
        <v>145000</v>
      </c>
      <c r="M147" s="9">
        <v>660000</v>
      </c>
      <c r="N147" s="9">
        <v>435000</v>
      </c>
      <c r="O147" s="9">
        <v>225000</v>
      </c>
      <c r="P147" s="10">
        <v>0.34090909090909088</v>
      </c>
      <c r="Q147" s="7" t="s">
        <v>41</v>
      </c>
      <c r="R147" s="7" t="s">
        <v>26</v>
      </c>
      <c r="S147" s="7">
        <f t="shared" si="6"/>
        <v>2024</v>
      </c>
      <c r="T147" s="7" t="str">
        <f t="shared" si="7"/>
        <v>jul</v>
      </c>
      <c r="U147" s="15">
        <f t="shared" si="8"/>
        <v>45474</v>
      </c>
    </row>
    <row r="148" spans="1:21" x14ac:dyDescent="0.25">
      <c r="A148" s="7">
        <v>147</v>
      </c>
      <c r="B148" s="8">
        <v>45900</v>
      </c>
      <c r="C148" s="7" t="s">
        <v>27</v>
      </c>
      <c r="D148" s="7" t="s">
        <v>34</v>
      </c>
      <c r="E148" s="7" t="s">
        <v>35</v>
      </c>
      <c r="F148" s="7" t="s">
        <v>45</v>
      </c>
      <c r="G148" s="7" t="s">
        <v>43</v>
      </c>
      <c r="H148" s="7" t="s">
        <v>37</v>
      </c>
      <c r="I148" s="7" t="s">
        <v>44</v>
      </c>
      <c r="J148" s="7">
        <v>2</v>
      </c>
      <c r="K148" s="9">
        <v>115000</v>
      </c>
      <c r="L148" s="9">
        <v>68000</v>
      </c>
      <c r="M148" s="9">
        <v>230000</v>
      </c>
      <c r="N148" s="9">
        <v>136000</v>
      </c>
      <c r="O148" s="9">
        <v>94000</v>
      </c>
      <c r="P148" s="10">
        <v>0.40869565217391313</v>
      </c>
      <c r="Q148" s="7" t="s">
        <v>39</v>
      </c>
      <c r="R148" s="7" t="s">
        <v>26</v>
      </c>
      <c r="S148" s="7">
        <f t="shared" si="6"/>
        <v>2025</v>
      </c>
      <c r="T148" s="7" t="str">
        <f t="shared" si="7"/>
        <v>ago</v>
      </c>
      <c r="U148" s="15">
        <f t="shared" si="8"/>
        <v>45870</v>
      </c>
    </row>
    <row r="149" spans="1:21" x14ac:dyDescent="0.25">
      <c r="A149" s="7">
        <v>148</v>
      </c>
      <c r="B149" s="8">
        <v>45434</v>
      </c>
      <c r="C149" s="7" t="s">
        <v>27</v>
      </c>
      <c r="D149" s="7" t="s">
        <v>19</v>
      </c>
      <c r="E149" s="7" t="s">
        <v>20</v>
      </c>
      <c r="F149" s="7" t="s">
        <v>21</v>
      </c>
      <c r="G149" s="7" t="s">
        <v>46</v>
      </c>
      <c r="H149" s="7" t="s">
        <v>47</v>
      </c>
      <c r="I149" s="7" t="s">
        <v>48</v>
      </c>
      <c r="J149" s="7">
        <v>1</v>
      </c>
      <c r="K149" s="9">
        <v>24000</v>
      </c>
      <c r="L149" s="9">
        <v>9500</v>
      </c>
      <c r="M149" s="9">
        <v>24000</v>
      </c>
      <c r="N149" s="9">
        <v>9500</v>
      </c>
      <c r="O149" s="9">
        <v>14500</v>
      </c>
      <c r="P149" s="10">
        <v>0.60416666666666663</v>
      </c>
      <c r="Q149" s="7" t="s">
        <v>39</v>
      </c>
      <c r="R149" s="7" t="s">
        <v>26</v>
      </c>
      <c r="S149" s="7">
        <f t="shared" si="6"/>
        <v>2024</v>
      </c>
      <c r="T149" s="7" t="str">
        <f t="shared" si="7"/>
        <v>may</v>
      </c>
      <c r="U149" s="15">
        <f t="shared" si="8"/>
        <v>45413</v>
      </c>
    </row>
    <row r="150" spans="1:21" x14ac:dyDescent="0.25">
      <c r="A150" s="7">
        <v>149</v>
      </c>
      <c r="B150" s="8">
        <v>45403</v>
      </c>
      <c r="C150" s="7" t="s">
        <v>27</v>
      </c>
      <c r="D150" s="7" t="s">
        <v>34</v>
      </c>
      <c r="E150" s="7" t="s">
        <v>35</v>
      </c>
      <c r="F150" s="7" t="s">
        <v>21</v>
      </c>
      <c r="G150" s="7" t="s">
        <v>22</v>
      </c>
      <c r="H150" s="7" t="s">
        <v>23</v>
      </c>
      <c r="I150" s="7" t="s">
        <v>24</v>
      </c>
      <c r="J150" s="7">
        <v>4</v>
      </c>
      <c r="K150" s="9">
        <v>115000</v>
      </c>
      <c r="L150" s="9">
        <v>68000</v>
      </c>
      <c r="M150" s="9">
        <v>460000</v>
      </c>
      <c r="N150" s="9">
        <v>272000</v>
      </c>
      <c r="O150" s="9">
        <v>188000</v>
      </c>
      <c r="P150" s="10">
        <v>0.40869565217391313</v>
      </c>
      <c r="Q150" s="7" t="s">
        <v>41</v>
      </c>
      <c r="R150" s="7" t="s">
        <v>26</v>
      </c>
      <c r="S150" s="7">
        <f t="shared" si="6"/>
        <v>2024</v>
      </c>
      <c r="T150" s="7" t="str">
        <f t="shared" si="7"/>
        <v>abr</v>
      </c>
      <c r="U150" s="15">
        <f t="shared" si="8"/>
        <v>45383</v>
      </c>
    </row>
    <row r="151" spans="1:21" x14ac:dyDescent="0.25">
      <c r="A151" s="7">
        <v>150</v>
      </c>
      <c r="B151" s="8">
        <v>45342</v>
      </c>
      <c r="C151" s="7" t="s">
        <v>27</v>
      </c>
      <c r="D151" s="7" t="s">
        <v>62</v>
      </c>
      <c r="E151" s="7" t="s">
        <v>20</v>
      </c>
      <c r="F151" s="7" t="s">
        <v>21</v>
      </c>
      <c r="G151" s="7" t="s">
        <v>46</v>
      </c>
      <c r="H151" s="7" t="s">
        <v>47</v>
      </c>
      <c r="I151" s="7" t="s">
        <v>48</v>
      </c>
      <c r="J151" s="7">
        <v>1</v>
      </c>
      <c r="K151" s="9">
        <v>28000</v>
      </c>
      <c r="L151" s="9">
        <v>11000</v>
      </c>
      <c r="M151" s="9">
        <v>28000</v>
      </c>
      <c r="N151" s="9">
        <v>11000</v>
      </c>
      <c r="O151" s="9">
        <v>17000</v>
      </c>
      <c r="P151" s="10">
        <v>0.6071428571428571</v>
      </c>
      <c r="Q151" s="7" t="s">
        <v>41</v>
      </c>
      <c r="R151" s="7" t="s">
        <v>26</v>
      </c>
      <c r="S151" s="7">
        <f t="shared" si="6"/>
        <v>2024</v>
      </c>
      <c r="T151" s="7" t="str">
        <f t="shared" si="7"/>
        <v>feb</v>
      </c>
      <c r="U151" s="15">
        <f t="shared" si="8"/>
        <v>45323</v>
      </c>
    </row>
    <row r="152" spans="1:21" x14ac:dyDescent="0.25">
      <c r="A152" s="7">
        <v>151</v>
      </c>
      <c r="B152" s="8">
        <v>45502</v>
      </c>
      <c r="C152" s="7" t="s">
        <v>18</v>
      </c>
      <c r="D152" s="7" t="s">
        <v>19</v>
      </c>
      <c r="E152" s="7" t="s">
        <v>20</v>
      </c>
      <c r="F152" s="7" t="s">
        <v>45</v>
      </c>
      <c r="G152" s="7" t="s">
        <v>46</v>
      </c>
      <c r="H152" s="7" t="s">
        <v>47</v>
      </c>
      <c r="I152" s="7" t="s">
        <v>48</v>
      </c>
      <c r="J152" s="7">
        <v>3</v>
      </c>
      <c r="K152" s="9">
        <v>24000</v>
      </c>
      <c r="L152" s="9">
        <v>9500</v>
      </c>
      <c r="M152" s="9">
        <v>72000</v>
      </c>
      <c r="N152" s="9">
        <v>28500</v>
      </c>
      <c r="O152" s="9">
        <v>43500</v>
      </c>
      <c r="P152" s="10">
        <v>0.60416666666666663</v>
      </c>
      <c r="Q152" s="7" t="s">
        <v>39</v>
      </c>
      <c r="R152" s="7" t="s">
        <v>26</v>
      </c>
      <c r="S152" s="7">
        <f t="shared" si="6"/>
        <v>2024</v>
      </c>
      <c r="T152" s="7" t="str">
        <f t="shared" si="7"/>
        <v>jul</v>
      </c>
      <c r="U152" s="15">
        <f t="shared" si="8"/>
        <v>45474</v>
      </c>
    </row>
    <row r="153" spans="1:21" x14ac:dyDescent="0.25">
      <c r="A153" s="7">
        <v>152</v>
      </c>
      <c r="B153" s="8">
        <v>45905</v>
      </c>
      <c r="C153" s="7" t="s">
        <v>18</v>
      </c>
      <c r="D153" s="7" t="s">
        <v>62</v>
      </c>
      <c r="E153" s="7" t="s">
        <v>20</v>
      </c>
      <c r="F153" s="7" t="s">
        <v>21</v>
      </c>
      <c r="G153" s="7" t="s">
        <v>59</v>
      </c>
      <c r="H153" s="7" t="s">
        <v>31</v>
      </c>
      <c r="I153" s="7" t="s">
        <v>60</v>
      </c>
      <c r="J153" s="7">
        <v>3</v>
      </c>
      <c r="K153" s="9">
        <v>28000</v>
      </c>
      <c r="L153" s="9">
        <v>11000</v>
      </c>
      <c r="M153" s="9">
        <v>84000</v>
      </c>
      <c r="N153" s="9">
        <v>33000</v>
      </c>
      <c r="O153" s="9">
        <v>51000</v>
      </c>
      <c r="P153" s="10">
        <v>0.6071428571428571</v>
      </c>
      <c r="Q153" s="7" t="s">
        <v>39</v>
      </c>
      <c r="R153" s="7" t="s">
        <v>26</v>
      </c>
      <c r="S153" s="7">
        <f t="shared" si="6"/>
        <v>2025</v>
      </c>
      <c r="T153" s="7" t="str">
        <f t="shared" si="7"/>
        <v>sept</v>
      </c>
      <c r="U153" s="15">
        <f t="shared" si="8"/>
        <v>45901</v>
      </c>
    </row>
    <row r="154" spans="1:21" x14ac:dyDescent="0.25">
      <c r="A154" s="7">
        <v>153</v>
      </c>
      <c r="B154" s="8">
        <v>45513</v>
      </c>
      <c r="C154" s="7" t="s">
        <v>18</v>
      </c>
      <c r="D154" s="7" t="s">
        <v>62</v>
      </c>
      <c r="E154" s="7" t="s">
        <v>20</v>
      </c>
      <c r="F154" s="7" t="s">
        <v>45</v>
      </c>
      <c r="G154" s="7" t="s">
        <v>59</v>
      </c>
      <c r="H154" s="7" t="s">
        <v>31</v>
      </c>
      <c r="I154" s="7" t="s">
        <v>60</v>
      </c>
      <c r="J154" s="7">
        <v>3</v>
      </c>
      <c r="K154" s="9">
        <v>28000</v>
      </c>
      <c r="L154" s="9">
        <v>11000</v>
      </c>
      <c r="M154" s="9">
        <v>84000</v>
      </c>
      <c r="N154" s="9">
        <v>33000</v>
      </c>
      <c r="O154" s="9">
        <v>51000</v>
      </c>
      <c r="P154" s="10">
        <v>0.6071428571428571</v>
      </c>
      <c r="Q154" s="7" t="s">
        <v>25</v>
      </c>
      <c r="R154" s="7" t="s">
        <v>26</v>
      </c>
      <c r="S154" s="7">
        <f t="shared" si="6"/>
        <v>2024</v>
      </c>
      <c r="T154" s="7" t="str">
        <f t="shared" si="7"/>
        <v>ago</v>
      </c>
      <c r="U154" s="15">
        <f t="shared" si="8"/>
        <v>45505</v>
      </c>
    </row>
    <row r="155" spans="1:21" x14ac:dyDescent="0.25">
      <c r="A155" s="7">
        <v>154</v>
      </c>
      <c r="B155" s="8">
        <v>45449</v>
      </c>
      <c r="C155" s="7" t="s">
        <v>27</v>
      </c>
      <c r="D155" s="7" t="s">
        <v>28</v>
      </c>
      <c r="E155" s="7" t="s">
        <v>29</v>
      </c>
      <c r="F155" s="7" t="s">
        <v>21</v>
      </c>
      <c r="G155" s="7" t="s">
        <v>22</v>
      </c>
      <c r="H155" s="7" t="s">
        <v>23</v>
      </c>
      <c r="I155" s="7" t="s">
        <v>24</v>
      </c>
      <c r="J155" s="7">
        <v>1</v>
      </c>
      <c r="K155" s="9">
        <v>220000</v>
      </c>
      <c r="L155" s="9">
        <v>145000</v>
      </c>
      <c r="M155" s="9">
        <v>220000</v>
      </c>
      <c r="N155" s="9">
        <v>145000</v>
      </c>
      <c r="O155" s="9">
        <v>75000</v>
      </c>
      <c r="P155" s="10">
        <v>0.34090909090909088</v>
      </c>
      <c r="Q155" s="7" t="s">
        <v>25</v>
      </c>
      <c r="R155" s="7" t="s">
        <v>26</v>
      </c>
      <c r="S155" s="7">
        <f t="shared" si="6"/>
        <v>2024</v>
      </c>
      <c r="T155" s="7" t="str">
        <f t="shared" si="7"/>
        <v>jun</v>
      </c>
      <c r="U155" s="15">
        <f t="shared" si="8"/>
        <v>45444</v>
      </c>
    </row>
    <row r="156" spans="1:21" x14ac:dyDescent="0.25">
      <c r="A156" s="7">
        <v>155</v>
      </c>
      <c r="B156" s="8">
        <v>45613</v>
      </c>
      <c r="C156" s="7" t="s">
        <v>18</v>
      </c>
      <c r="D156" s="7" t="s">
        <v>62</v>
      </c>
      <c r="E156" s="7" t="s">
        <v>20</v>
      </c>
      <c r="F156" s="7" t="s">
        <v>45</v>
      </c>
      <c r="G156" s="7" t="s">
        <v>52</v>
      </c>
      <c r="H156" s="7" t="s">
        <v>53</v>
      </c>
      <c r="I156" s="7" t="s">
        <v>54</v>
      </c>
      <c r="J156" s="7">
        <v>3</v>
      </c>
      <c r="K156" s="9">
        <v>28000</v>
      </c>
      <c r="L156" s="9">
        <v>11000</v>
      </c>
      <c r="M156" s="9">
        <v>84000</v>
      </c>
      <c r="N156" s="9">
        <v>33000</v>
      </c>
      <c r="O156" s="9">
        <v>51000</v>
      </c>
      <c r="P156" s="10">
        <v>0.6071428571428571</v>
      </c>
      <c r="Q156" s="7" t="s">
        <v>25</v>
      </c>
      <c r="R156" s="7" t="s">
        <v>26</v>
      </c>
      <c r="S156" s="7">
        <f t="shared" si="6"/>
        <v>2024</v>
      </c>
      <c r="T156" s="7" t="str">
        <f t="shared" si="7"/>
        <v>nov</v>
      </c>
      <c r="U156" s="15">
        <f t="shared" si="8"/>
        <v>45597</v>
      </c>
    </row>
    <row r="157" spans="1:21" x14ac:dyDescent="0.25">
      <c r="A157" s="7">
        <v>156</v>
      </c>
      <c r="B157" s="8">
        <v>45660</v>
      </c>
      <c r="C157" s="7" t="s">
        <v>27</v>
      </c>
      <c r="D157" s="7" t="s">
        <v>55</v>
      </c>
      <c r="E157" s="7" t="s">
        <v>51</v>
      </c>
      <c r="F157" s="7" t="s">
        <v>45</v>
      </c>
      <c r="G157" s="7" t="s">
        <v>36</v>
      </c>
      <c r="H157" s="7" t="s">
        <v>37</v>
      </c>
      <c r="I157" s="7" t="s">
        <v>38</v>
      </c>
      <c r="J157" s="7">
        <v>3</v>
      </c>
      <c r="K157" s="9">
        <v>520000</v>
      </c>
      <c r="L157" s="9">
        <v>365000</v>
      </c>
      <c r="M157" s="9">
        <v>1560000</v>
      </c>
      <c r="N157" s="9">
        <v>1095000</v>
      </c>
      <c r="O157" s="9">
        <v>465000</v>
      </c>
      <c r="P157" s="10">
        <v>0.29807692307692307</v>
      </c>
      <c r="Q157" s="7" t="s">
        <v>25</v>
      </c>
      <c r="R157" s="7" t="s">
        <v>26</v>
      </c>
      <c r="S157" s="7">
        <f t="shared" si="6"/>
        <v>2025</v>
      </c>
      <c r="T157" s="7" t="str">
        <f t="shared" si="7"/>
        <v>ene</v>
      </c>
      <c r="U157" s="15">
        <f t="shared" si="8"/>
        <v>45658</v>
      </c>
    </row>
    <row r="158" spans="1:21" x14ac:dyDescent="0.25">
      <c r="A158" s="7">
        <v>157</v>
      </c>
      <c r="B158" s="8">
        <v>45632</v>
      </c>
      <c r="C158" s="7" t="s">
        <v>27</v>
      </c>
      <c r="D158" s="7" t="s">
        <v>42</v>
      </c>
      <c r="E158" s="7" t="s">
        <v>29</v>
      </c>
      <c r="F158" s="7" t="s">
        <v>45</v>
      </c>
      <c r="G158" s="7" t="s">
        <v>36</v>
      </c>
      <c r="H158" s="7" t="s">
        <v>37</v>
      </c>
      <c r="I158" s="7" t="s">
        <v>38</v>
      </c>
      <c r="J158" s="7">
        <v>3</v>
      </c>
      <c r="K158" s="9">
        <v>780000</v>
      </c>
      <c r="L158" s="9">
        <v>590000</v>
      </c>
      <c r="M158" s="9">
        <v>2340000</v>
      </c>
      <c r="N158" s="9">
        <v>1770000</v>
      </c>
      <c r="O158" s="9">
        <v>570000</v>
      </c>
      <c r="P158" s="10">
        <v>0.24358974358974361</v>
      </c>
      <c r="Q158" s="7" t="s">
        <v>33</v>
      </c>
      <c r="R158" s="7" t="s">
        <v>26</v>
      </c>
      <c r="S158" s="7">
        <f t="shared" si="6"/>
        <v>2024</v>
      </c>
      <c r="T158" s="7" t="str">
        <f t="shared" si="7"/>
        <v>dic</v>
      </c>
      <c r="U158" s="15">
        <f t="shared" si="8"/>
        <v>45627</v>
      </c>
    </row>
    <row r="159" spans="1:21" x14ac:dyDescent="0.25">
      <c r="A159" s="7">
        <v>158</v>
      </c>
      <c r="B159" s="8">
        <v>45947</v>
      </c>
      <c r="C159" s="7" t="s">
        <v>27</v>
      </c>
      <c r="D159" s="7" t="s">
        <v>19</v>
      </c>
      <c r="E159" s="7" t="s">
        <v>20</v>
      </c>
      <c r="F159" s="7" t="s">
        <v>21</v>
      </c>
      <c r="G159" s="7" t="s">
        <v>56</v>
      </c>
      <c r="H159" s="7" t="s">
        <v>57</v>
      </c>
      <c r="I159" s="7" t="s">
        <v>58</v>
      </c>
      <c r="J159" s="7">
        <v>4</v>
      </c>
      <c r="K159" s="9">
        <v>24000</v>
      </c>
      <c r="L159" s="9">
        <v>9500</v>
      </c>
      <c r="M159" s="9">
        <v>96000</v>
      </c>
      <c r="N159" s="9">
        <v>38000</v>
      </c>
      <c r="O159" s="9">
        <v>58000</v>
      </c>
      <c r="P159" s="10">
        <v>0.60416666666666663</v>
      </c>
      <c r="Q159" s="7" t="s">
        <v>25</v>
      </c>
      <c r="R159" s="7" t="s">
        <v>26</v>
      </c>
      <c r="S159" s="7">
        <f t="shared" si="6"/>
        <v>2025</v>
      </c>
      <c r="T159" s="7" t="str">
        <f t="shared" si="7"/>
        <v>oct</v>
      </c>
      <c r="U159" s="15">
        <f t="shared" si="8"/>
        <v>45931</v>
      </c>
    </row>
    <row r="160" spans="1:21" x14ac:dyDescent="0.25">
      <c r="A160" s="7">
        <v>159</v>
      </c>
      <c r="B160" s="8">
        <v>45969</v>
      </c>
      <c r="C160" s="7" t="s">
        <v>18</v>
      </c>
      <c r="D160" s="7" t="s">
        <v>50</v>
      </c>
      <c r="E160" s="7" t="s">
        <v>51</v>
      </c>
      <c r="F160" s="7" t="s">
        <v>45</v>
      </c>
      <c r="G160" s="7" t="s">
        <v>22</v>
      </c>
      <c r="H160" s="7" t="s">
        <v>23</v>
      </c>
      <c r="I160" s="7" t="s">
        <v>24</v>
      </c>
      <c r="J160" s="7">
        <v>3</v>
      </c>
      <c r="K160" s="9">
        <v>310000</v>
      </c>
      <c r="L160" s="9">
        <v>210000</v>
      </c>
      <c r="M160" s="9">
        <v>930000</v>
      </c>
      <c r="N160" s="9">
        <v>630000</v>
      </c>
      <c r="O160" s="9">
        <v>300000</v>
      </c>
      <c r="P160" s="10">
        <v>0.32258064516129031</v>
      </c>
      <c r="Q160" s="7" t="s">
        <v>39</v>
      </c>
      <c r="R160" s="7" t="s">
        <v>26</v>
      </c>
      <c r="S160" s="7">
        <f t="shared" si="6"/>
        <v>2025</v>
      </c>
      <c r="T160" s="7" t="str">
        <f t="shared" si="7"/>
        <v>nov</v>
      </c>
      <c r="U160" s="15">
        <f t="shared" si="8"/>
        <v>45962</v>
      </c>
    </row>
    <row r="161" spans="1:21" x14ac:dyDescent="0.25">
      <c r="A161" s="7">
        <v>160</v>
      </c>
      <c r="B161" s="8">
        <v>45369</v>
      </c>
      <c r="C161" s="7" t="s">
        <v>18</v>
      </c>
      <c r="D161" s="7" t="s">
        <v>50</v>
      </c>
      <c r="E161" s="7" t="s">
        <v>51</v>
      </c>
      <c r="F161" s="7" t="s">
        <v>21</v>
      </c>
      <c r="G161" s="7" t="s">
        <v>59</v>
      </c>
      <c r="H161" s="7" t="s">
        <v>31</v>
      </c>
      <c r="I161" s="7" t="s">
        <v>60</v>
      </c>
      <c r="J161" s="7">
        <v>4</v>
      </c>
      <c r="K161" s="9">
        <v>310000</v>
      </c>
      <c r="L161" s="9">
        <v>210000</v>
      </c>
      <c r="M161" s="9">
        <v>1240000</v>
      </c>
      <c r="N161" s="9">
        <v>840000</v>
      </c>
      <c r="O161" s="9">
        <v>400000</v>
      </c>
      <c r="P161" s="10">
        <v>0.32258064516129031</v>
      </c>
      <c r="Q161" s="7" t="s">
        <v>25</v>
      </c>
      <c r="R161" s="7" t="s">
        <v>26</v>
      </c>
      <c r="S161" s="7">
        <f t="shared" si="6"/>
        <v>2024</v>
      </c>
      <c r="T161" s="7" t="str">
        <f t="shared" si="7"/>
        <v>mar</v>
      </c>
      <c r="U161" s="15">
        <f t="shared" si="8"/>
        <v>45352</v>
      </c>
    </row>
    <row r="162" spans="1:21" x14ac:dyDescent="0.25">
      <c r="A162" s="7">
        <v>161</v>
      </c>
      <c r="B162" s="8">
        <v>45999</v>
      </c>
      <c r="C162" s="7" t="s">
        <v>18</v>
      </c>
      <c r="D162" s="7" t="s">
        <v>34</v>
      </c>
      <c r="E162" s="7" t="s">
        <v>35</v>
      </c>
      <c r="F162" s="7" t="s">
        <v>21</v>
      </c>
      <c r="G162" s="7" t="s">
        <v>46</v>
      </c>
      <c r="H162" s="7" t="s">
        <v>47</v>
      </c>
      <c r="I162" s="7" t="s">
        <v>48</v>
      </c>
      <c r="J162" s="7">
        <v>1</v>
      </c>
      <c r="K162" s="9">
        <v>115000</v>
      </c>
      <c r="L162" s="9">
        <v>68000</v>
      </c>
      <c r="M162" s="9">
        <v>115000</v>
      </c>
      <c r="N162" s="9">
        <v>68000</v>
      </c>
      <c r="O162" s="9">
        <v>47000</v>
      </c>
      <c r="P162" s="10">
        <v>0.40869565217391313</v>
      </c>
      <c r="Q162" s="7" t="s">
        <v>39</v>
      </c>
      <c r="R162" s="7" t="s">
        <v>26</v>
      </c>
      <c r="S162" s="7">
        <f t="shared" si="6"/>
        <v>2025</v>
      </c>
      <c r="T162" s="7" t="str">
        <f t="shared" si="7"/>
        <v>dic</v>
      </c>
      <c r="U162" s="15">
        <f t="shared" si="8"/>
        <v>45992</v>
      </c>
    </row>
    <row r="163" spans="1:21" x14ac:dyDescent="0.25">
      <c r="A163" s="7">
        <v>162</v>
      </c>
      <c r="B163" s="8">
        <v>45450</v>
      </c>
      <c r="C163" s="7" t="s">
        <v>18</v>
      </c>
      <c r="D163" s="7" t="s">
        <v>40</v>
      </c>
      <c r="E163" s="7" t="s">
        <v>35</v>
      </c>
      <c r="F163" s="7" t="s">
        <v>45</v>
      </c>
      <c r="G163" s="7" t="s">
        <v>59</v>
      </c>
      <c r="H163" s="7" t="s">
        <v>31</v>
      </c>
      <c r="I163" s="7" t="s">
        <v>60</v>
      </c>
      <c r="J163" s="7">
        <v>3</v>
      </c>
      <c r="K163" s="9">
        <v>185000</v>
      </c>
      <c r="L163" s="9">
        <v>108000</v>
      </c>
      <c r="M163" s="9">
        <v>555000</v>
      </c>
      <c r="N163" s="9">
        <v>324000</v>
      </c>
      <c r="O163" s="9">
        <v>231000</v>
      </c>
      <c r="P163" s="10">
        <v>0.41621621621621618</v>
      </c>
      <c r="Q163" s="7" t="s">
        <v>39</v>
      </c>
      <c r="R163" s="7" t="s">
        <v>26</v>
      </c>
      <c r="S163" s="7">
        <f t="shared" si="6"/>
        <v>2024</v>
      </c>
      <c r="T163" s="7" t="str">
        <f t="shared" si="7"/>
        <v>jun</v>
      </c>
      <c r="U163" s="15">
        <f t="shared" si="8"/>
        <v>45444</v>
      </c>
    </row>
    <row r="164" spans="1:21" x14ac:dyDescent="0.25">
      <c r="A164" s="7">
        <v>163</v>
      </c>
      <c r="B164" s="8">
        <v>45978</v>
      </c>
      <c r="C164" s="7" t="s">
        <v>27</v>
      </c>
      <c r="D164" s="7" t="s">
        <v>34</v>
      </c>
      <c r="E164" s="7" t="s">
        <v>35</v>
      </c>
      <c r="F164" s="7" t="s">
        <v>21</v>
      </c>
      <c r="G164" s="7" t="s">
        <v>56</v>
      </c>
      <c r="H164" s="7" t="s">
        <v>57</v>
      </c>
      <c r="I164" s="7" t="s">
        <v>58</v>
      </c>
      <c r="J164" s="7">
        <v>1</v>
      </c>
      <c r="K164" s="9">
        <v>115000</v>
      </c>
      <c r="L164" s="9">
        <v>68000</v>
      </c>
      <c r="M164" s="9">
        <v>115000</v>
      </c>
      <c r="N164" s="9">
        <v>68000</v>
      </c>
      <c r="O164" s="9">
        <v>47000</v>
      </c>
      <c r="P164" s="10">
        <v>0.40869565217391313</v>
      </c>
      <c r="Q164" s="7" t="s">
        <v>41</v>
      </c>
      <c r="R164" s="7" t="s">
        <v>26</v>
      </c>
      <c r="S164" s="7">
        <f t="shared" si="6"/>
        <v>2025</v>
      </c>
      <c r="T164" s="7" t="str">
        <f t="shared" si="7"/>
        <v>nov</v>
      </c>
      <c r="U164" s="15">
        <f t="shared" si="8"/>
        <v>45962</v>
      </c>
    </row>
    <row r="165" spans="1:21" x14ac:dyDescent="0.25">
      <c r="A165" s="7">
        <v>164</v>
      </c>
      <c r="B165" s="8">
        <v>45772</v>
      </c>
      <c r="C165" s="7" t="s">
        <v>27</v>
      </c>
      <c r="D165" s="7" t="s">
        <v>28</v>
      </c>
      <c r="E165" s="7" t="s">
        <v>29</v>
      </c>
      <c r="F165" s="7" t="s">
        <v>45</v>
      </c>
      <c r="G165" s="7" t="s">
        <v>56</v>
      </c>
      <c r="H165" s="7" t="s">
        <v>57</v>
      </c>
      <c r="I165" s="7" t="s">
        <v>58</v>
      </c>
      <c r="J165" s="7">
        <v>2</v>
      </c>
      <c r="K165" s="9">
        <v>220000</v>
      </c>
      <c r="L165" s="9">
        <v>145000</v>
      </c>
      <c r="M165" s="9">
        <v>440000</v>
      </c>
      <c r="N165" s="9">
        <v>290000</v>
      </c>
      <c r="O165" s="9">
        <v>150000</v>
      </c>
      <c r="P165" s="10">
        <v>0.34090909090909088</v>
      </c>
      <c r="Q165" s="7" t="s">
        <v>41</v>
      </c>
      <c r="R165" s="7" t="s">
        <v>26</v>
      </c>
      <c r="S165" s="7">
        <f t="shared" si="6"/>
        <v>2025</v>
      </c>
      <c r="T165" s="7" t="str">
        <f t="shared" si="7"/>
        <v>abr</v>
      </c>
      <c r="U165" s="15">
        <f t="shared" si="8"/>
        <v>45748</v>
      </c>
    </row>
    <row r="166" spans="1:21" x14ac:dyDescent="0.25">
      <c r="A166" s="7">
        <v>165</v>
      </c>
      <c r="B166" s="8">
        <v>45709</v>
      </c>
      <c r="C166" s="7" t="s">
        <v>18</v>
      </c>
      <c r="D166" s="7" t="s">
        <v>55</v>
      </c>
      <c r="E166" s="7" t="s">
        <v>51</v>
      </c>
      <c r="F166" s="7" t="s">
        <v>45</v>
      </c>
      <c r="G166" s="7" t="s">
        <v>56</v>
      </c>
      <c r="H166" s="7" t="s">
        <v>57</v>
      </c>
      <c r="I166" s="7" t="s">
        <v>58</v>
      </c>
      <c r="J166" s="7">
        <v>4</v>
      </c>
      <c r="K166" s="9">
        <v>520000</v>
      </c>
      <c r="L166" s="9">
        <v>365000</v>
      </c>
      <c r="M166" s="9">
        <v>2080000</v>
      </c>
      <c r="N166" s="9">
        <v>1460000</v>
      </c>
      <c r="O166" s="9">
        <v>620000</v>
      </c>
      <c r="P166" s="10">
        <v>0.29807692307692307</v>
      </c>
      <c r="Q166" s="7" t="s">
        <v>33</v>
      </c>
      <c r="R166" s="7" t="s">
        <v>26</v>
      </c>
      <c r="S166" s="7">
        <f t="shared" si="6"/>
        <v>2025</v>
      </c>
      <c r="T166" s="7" t="str">
        <f t="shared" si="7"/>
        <v>feb</v>
      </c>
      <c r="U166" s="15">
        <f t="shared" si="8"/>
        <v>45689</v>
      </c>
    </row>
    <row r="167" spans="1:21" x14ac:dyDescent="0.25">
      <c r="A167" s="7">
        <v>166</v>
      </c>
      <c r="B167" s="8">
        <v>45887</v>
      </c>
      <c r="C167" s="7" t="s">
        <v>27</v>
      </c>
      <c r="D167" s="7" t="s">
        <v>50</v>
      </c>
      <c r="E167" s="7" t="s">
        <v>51</v>
      </c>
      <c r="F167" s="7" t="s">
        <v>21</v>
      </c>
      <c r="G167" s="7" t="s">
        <v>56</v>
      </c>
      <c r="H167" s="7" t="s">
        <v>57</v>
      </c>
      <c r="I167" s="7" t="s">
        <v>58</v>
      </c>
      <c r="J167" s="7">
        <v>3</v>
      </c>
      <c r="K167" s="9">
        <v>310000</v>
      </c>
      <c r="L167" s="9">
        <v>210000</v>
      </c>
      <c r="M167" s="9">
        <v>930000</v>
      </c>
      <c r="N167" s="9">
        <v>630000</v>
      </c>
      <c r="O167" s="9">
        <v>300000</v>
      </c>
      <c r="P167" s="10">
        <v>0.32258064516129031</v>
      </c>
      <c r="Q167" s="7" t="s">
        <v>41</v>
      </c>
      <c r="R167" s="7" t="s">
        <v>26</v>
      </c>
      <c r="S167" s="7">
        <f t="shared" si="6"/>
        <v>2025</v>
      </c>
      <c r="T167" s="7" t="str">
        <f t="shared" si="7"/>
        <v>ago</v>
      </c>
      <c r="U167" s="15">
        <f t="shared" si="8"/>
        <v>45870</v>
      </c>
    </row>
    <row r="168" spans="1:21" x14ac:dyDescent="0.25">
      <c r="A168" s="7">
        <v>167</v>
      </c>
      <c r="B168" s="8">
        <v>45510</v>
      </c>
      <c r="C168" s="7" t="s">
        <v>27</v>
      </c>
      <c r="D168" s="7" t="s">
        <v>19</v>
      </c>
      <c r="E168" s="7" t="s">
        <v>20</v>
      </c>
      <c r="F168" s="7" t="s">
        <v>45</v>
      </c>
      <c r="G168" s="7" t="s">
        <v>43</v>
      </c>
      <c r="H168" s="7" t="s">
        <v>37</v>
      </c>
      <c r="I168" s="7" t="s">
        <v>44</v>
      </c>
      <c r="J168" s="7">
        <v>1</v>
      </c>
      <c r="K168" s="9">
        <v>24000</v>
      </c>
      <c r="L168" s="9">
        <v>9500</v>
      </c>
      <c r="M168" s="9">
        <v>24000</v>
      </c>
      <c r="N168" s="9">
        <v>9500</v>
      </c>
      <c r="O168" s="9">
        <v>14500</v>
      </c>
      <c r="P168" s="10">
        <v>0.60416666666666663</v>
      </c>
      <c r="Q168" s="7" t="s">
        <v>33</v>
      </c>
      <c r="R168" s="7" t="s">
        <v>26</v>
      </c>
      <c r="S168" s="7">
        <f t="shared" si="6"/>
        <v>2024</v>
      </c>
      <c r="T168" s="7" t="str">
        <f t="shared" si="7"/>
        <v>ago</v>
      </c>
      <c r="U168" s="15">
        <f t="shared" si="8"/>
        <v>45505</v>
      </c>
    </row>
    <row r="169" spans="1:21" x14ac:dyDescent="0.25">
      <c r="A169" s="7">
        <v>168</v>
      </c>
      <c r="B169" s="8">
        <v>45972</v>
      </c>
      <c r="C169" s="7" t="s">
        <v>27</v>
      </c>
      <c r="D169" s="7" t="s">
        <v>55</v>
      </c>
      <c r="E169" s="7" t="s">
        <v>51</v>
      </c>
      <c r="F169" s="7" t="s">
        <v>21</v>
      </c>
      <c r="G169" s="7" t="s">
        <v>52</v>
      </c>
      <c r="H169" s="7" t="s">
        <v>53</v>
      </c>
      <c r="I169" s="7" t="s">
        <v>54</v>
      </c>
      <c r="J169" s="7">
        <v>3</v>
      </c>
      <c r="K169" s="9">
        <v>520000</v>
      </c>
      <c r="L169" s="9">
        <v>365000</v>
      </c>
      <c r="M169" s="9">
        <v>1560000</v>
      </c>
      <c r="N169" s="9">
        <v>1095000</v>
      </c>
      <c r="O169" s="9">
        <v>465000</v>
      </c>
      <c r="P169" s="10">
        <v>0.29807692307692307</v>
      </c>
      <c r="Q169" s="7" t="s">
        <v>41</v>
      </c>
      <c r="R169" s="7" t="s">
        <v>26</v>
      </c>
      <c r="S169" s="7">
        <f t="shared" si="6"/>
        <v>2025</v>
      </c>
      <c r="T169" s="7" t="str">
        <f t="shared" si="7"/>
        <v>nov</v>
      </c>
      <c r="U169" s="15">
        <f t="shared" si="8"/>
        <v>45962</v>
      </c>
    </row>
    <row r="170" spans="1:21" x14ac:dyDescent="0.25">
      <c r="A170" s="7">
        <v>169</v>
      </c>
      <c r="B170" s="8">
        <v>45720</v>
      </c>
      <c r="C170" s="7" t="s">
        <v>18</v>
      </c>
      <c r="D170" s="7" t="s">
        <v>49</v>
      </c>
      <c r="E170" s="7" t="s">
        <v>20</v>
      </c>
      <c r="F170" s="7" t="s">
        <v>45</v>
      </c>
      <c r="G170" s="7" t="s">
        <v>59</v>
      </c>
      <c r="H170" s="7" t="s">
        <v>31</v>
      </c>
      <c r="I170" s="7" t="s">
        <v>60</v>
      </c>
      <c r="J170" s="7">
        <v>4</v>
      </c>
      <c r="K170" s="9">
        <v>45000</v>
      </c>
      <c r="L170" s="9">
        <v>21000</v>
      </c>
      <c r="M170" s="9">
        <v>180000</v>
      </c>
      <c r="N170" s="9">
        <v>84000</v>
      </c>
      <c r="O170" s="9">
        <v>96000</v>
      </c>
      <c r="P170" s="10">
        <v>0.53333333333333333</v>
      </c>
      <c r="Q170" s="7" t="s">
        <v>41</v>
      </c>
      <c r="R170" s="7" t="s">
        <v>26</v>
      </c>
      <c r="S170" s="7">
        <f t="shared" si="6"/>
        <v>2025</v>
      </c>
      <c r="T170" s="7" t="str">
        <f t="shared" si="7"/>
        <v>mar</v>
      </c>
      <c r="U170" s="15">
        <f t="shared" si="8"/>
        <v>45717</v>
      </c>
    </row>
    <row r="171" spans="1:21" x14ac:dyDescent="0.25">
      <c r="A171" s="7">
        <v>170</v>
      </c>
      <c r="B171" s="8">
        <v>45436</v>
      </c>
      <c r="C171" s="7" t="s">
        <v>18</v>
      </c>
      <c r="D171" s="7" t="s">
        <v>34</v>
      </c>
      <c r="E171" s="7" t="s">
        <v>35</v>
      </c>
      <c r="F171" s="7" t="s">
        <v>21</v>
      </c>
      <c r="G171" s="7" t="s">
        <v>46</v>
      </c>
      <c r="H171" s="7" t="s">
        <v>47</v>
      </c>
      <c r="I171" s="7" t="s">
        <v>48</v>
      </c>
      <c r="J171" s="7">
        <v>4</v>
      </c>
      <c r="K171" s="9">
        <v>115000</v>
      </c>
      <c r="L171" s="9">
        <v>68000</v>
      </c>
      <c r="M171" s="9">
        <v>460000</v>
      </c>
      <c r="N171" s="9">
        <v>272000</v>
      </c>
      <c r="O171" s="9">
        <v>188000</v>
      </c>
      <c r="P171" s="10">
        <v>0.40869565217391313</v>
      </c>
      <c r="Q171" s="7" t="s">
        <v>25</v>
      </c>
      <c r="R171" s="7" t="s">
        <v>26</v>
      </c>
      <c r="S171" s="7">
        <f t="shared" si="6"/>
        <v>2024</v>
      </c>
      <c r="T171" s="7" t="str">
        <f t="shared" si="7"/>
        <v>may</v>
      </c>
      <c r="U171" s="15">
        <f t="shared" si="8"/>
        <v>45413</v>
      </c>
    </row>
    <row r="172" spans="1:21" x14ac:dyDescent="0.25">
      <c r="A172" s="7">
        <v>171</v>
      </c>
      <c r="B172" s="8">
        <v>45529</v>
      </c>
      <c r="C172" s="7" t="s">
        <v>18</v>
      </c>
      <c r="D172" s="7" t="s">
        <v>50</v>
      </c>
      <c r="E172" s="7" t="s">
        <v>51</v>
      </c>
      <c r="F172" s="7" t="s">
        <v>45</v>
      </c>
      <c r="G172" s="7" t="s">
        <v>30</v>
      </c>
      <c r="H172" s="7" t="s">
        <v>31</v>
      </c>
      <c r="I172" s="7" t="s">
        <v>32</v>
      </c>
      <c r="J172" s="7">
        <v>3</v>
      </c>
      <c r="K172" s="9">
        <v>310000</v>
      </c>
      <c r="L172" s="9">
        <v>210000</v>
      </c>
      <c r="M172" s="9">
        <v>930000</v>
      </c>
      <c r="N172" s="9">
        <v>630000</v>
      </c>
      <c r="O172" s="9">
        <v>300000</v>
      </c>
      <c r="P172" s="10">
        <v>0.32258064516129031</v>
      </c>
      <c r="Q172" s="7" t="s">
        <v>39</v>
      </c>
      <c r="R172" s="7" t="s">
        <v>26</v>
      </c>
      <c r="S172" s="7">
        <f t="shared" si="6"/>
        <v>2024</v>
      </c>
      <c r="T172" s="7" t="str">
        <f t="shared" si="7"/>
        <v>ago</v>
      </c>
      <c r="U172" s="15">
        <f t="shared" si="8"/>
        <v>45505</v>
      </c>
    </row>
    <row r="173" spans="1:21" x14ac:dyDescent="0.25">
      <c r="A173" s="7">
        <v>172</v>
      </c>
      <c r="B173" s="8">
        <v>45391</v>
      </c>
      <c r="C173" s="7" t="s">
        <v>27</v>
      </c>
      <c r="D173" s="7" t="s">
        <v>62</v>
      </c>
      <c r="E173" s="7" t="s">
        <v>20</v>
      </c>
      <c r="F173" s="7" t="s">
        <v>21</v>
      </c>
      <c r="G173" s="7" t="s">
        <v>46</v>
      </c>
      <c r="H173" s="7" t="s">
        <v>47</v>
      </c>
      <c r="I173" s="7" t="s">
        <v>48</v>
      </c>
      <c r="J173" s="7">
        <v>1</v>
      </c>
      <c r="K173" s="9">
        <v>28000</v>
      </c>
      <c r="L173" s="9">
        <v>11000</v>
      </c>
      <c r="M173" s="9">
        <v>28000</v>
      </c>
      <c r="N173" s="9">
        <v>11000</v>
      </c>
      <c r="O173" s="9">
        <v>17000</v>
      </c>
      <c r="P173" s="10">
        <v>0.6071428571428571</v>
      </c>
      <c r="Q173" s="7" t="s">
        <v>39</v>
      </c>
      <c r="R173" s="7" t="s">
        <v>26</v>
      </c>
      <c r="S173" s="7">
        <f t="shared" si="6"/>
        <v>2024</v>
      </c>
      <c r="T173" s="7" t="str">
        <f t="shared" si="7"/>
        <v>abr</v>
      </c>
      <c r="U173" s="15">
        <f t="shared" si="8"/>
        <v>45383</v>
      </c>
    </row>
    <row r="174" spans="1:21" x14ac:dyDescent="0.25">
      <c r="A174" s="7">
        <v>173</v>
      </c>
      <c r="B174" s="8">
        <v>45504</v>
      </c>
      <c r="C174" s="7" t="s">
        <v>18</v>
      </c>
      <c r="D174" s="7" t="s">
        <v>49</v>
      </c>
      <c r="E174" s="7" t="s">
        <v>20</v>
      </c>
      <c r="F174" s="7" t="s">
        <v>45</v>
      </c>
      <c r="G174" s="7" t="s">
        <v>43</v>
      </c>
      <c r="H174" s="7" t="s">
        <v>37</v>
      </c>
      <c r="I174" s="7" t="s">
        <v>44</v>
      </c>
      <c r="J174" s="7">
        <v>2</v>
      </c>
      <c r="K174" s="9">
        <v>45000</v>
      </c>
      <c r="L174" s="9">
        <v>21000</v>
      </c>
      <c r="M174" s="9">
        <v>90000</v>
      </c>
      <c r="N174" s="9">
        <v>42000</v>
      </c>
      <c r="O174" s="9">
        <v>48000</v>
      </c>
      <c r="P174" s="10">
        <v>0.53333333333333333</v>
      </c>
      <c r="Q174" s="7" t="s">
        <v>41</v>
      </c>
      <c r="R174" s="7" t="s">
        <v>26</v>
      </c>
      <c r="S174" s="7">
        <f t="shared" si="6"/>
        <v>2024</v>
      </c>
      <c r="T174" s="7" t="str">
        <f t="shared" si="7"/>
        <v>jul</v>
      </c>
      <c r="U174" s="15">
        <f t="shared" si="8"/>
        <v>45474</v>
      </c>
    </row>
    <row r="175" spans="1:21" x14ac:dyDescent="0.25">
      <c r="A175" s="7">
        <v>174</v>
      </c>
      <c r="B175" s="8">
        <v>45320</v>
      </c>
      <c r="C175" s="7" t="s">
        <v>18</v>
      </c>
      <c r="D175" s="7" t="s">
        <v>34</v>
      </c>
      <c r="E175" s="7" t="s">
        <v>35</v>
      </c>
      <c r="F175" s="7" t="s">
        <v>21</v>
      </c>
      <c r="G175" s="7" t="s">
        <v>22</v>
      </c>
      <c r="H175" s="7" t="s">
        <v>23</v>
      </c>
      <c r="I175" s="7" t="s">
        <v>24</v>
      </c>
      <c r="J175" s="7">
        <v>2</v>
      </c>
      <c r="K175" s="9">
        <v>115000</v>
      </c>
      <c r="L175" s="9">
        <v>68000</v>
      </c>
      <c r="M175" s="9">
        <v>230000</v>
      </c>
      <c r="N175" s="9">
        <v>136000</v>
      </c>
      <c r="O175" s="9">
        <v>94000</v>
      </c>
      <c r="P175" s="10">
        <v>0.40869565217391313</v>
      </c>
      <c r="Q175" s="7" t="s">
        <v>25</v>
      </c>
      <c r="R175" s="7" t="s">
        <v>26</v>
      </c>
      <c r="S175" s="7">
        <f t="shared" si="6"/>
        <v>2024</v>
      </c>
      <c r="T175" s="7" t="str">
        <f t="shared" si="7"/>
        <v>ene</v>
      </c>
      <c r="U175" s="15">
        <f t="shared" si="8"/>
        <v>45292</v>
      </c>
    </row>
    <row r="176" spans="1:21" x14ac:dyDescent="0.25">
      <c r="A176" s="7">
        <v>175</v>
      </c>
      <c r="B176" s="8">
        <v>45727</v>
      </c>
      <c r="C176" s="7" t="s">
        <v>27</v>
      </c>
      <c r="D176" s="7" t="s">
        <v>55</v>
      </c>
      <c r="E176" s="7" t="s">
        <v>51</v>
      </c>
      <c r="F176" s="7" t="s">
        <v>21</v>
      </c>
      <c r="G176" s="7" t="s">
        <v>30</v>
      </c>
      <c r="H176" s="7" t="s">
        <v>31</v>
      </c>
      <c r="I176" s="7" t="s">
        <v>32</v>
      </c>
      <c r="J176" s="7">
        <v>1</v>
      </c>
      <c r="K176" s="9">
        <v>520000</v>
      </c>
      <c r="L176" s="9">
        <v>365000</v>
      </c>
      <c r="M176" s="9">
        <v>520000</v>
      </c>
      <c r="N176" s="9">
        <v>365000</v>
      </c>
      <c r="O176" s="9">
        <v>155000</v>
      </c>
      <c r="P176" s="10">
        <v>0.29807692307692307</v>
      </c>
      <c r="Q176" s="7" t="s">
        <v>33</v>
      </c>
      <c r="R176" s="7" t="s">
        <v>26</v>
      </c>
      <c r="S176" s="7">
        <f t="shared" si="6"/>
        <v>2025</v>
      </c>
      <c r="T176" s="7" t="str">
        <f t="shared" si="7"/>
        <v>mar</v>
      </c>
      <c r="U176" s="15">
        <f t="shared" si="8"/>
        <v>45717</v>
      </c>
    </row>
    <row r="177" spans="1:21" x14ac:dyDescent="0.25">
      <c r="A177" s="7">
        <v>176</v>
      </c>
      <c r="B177" s="8">
        <v>45964</v>
      </c>
      <c r="C177" s="7" t="s">
        <v>18</v>
      </c>
      <c r="D177" s="7" t="s">
        <v>19</v>
      </c>
      <c r="E177" s="7" t="s">
        <v>20</v>
      </c>
      <c r="F177" s="7" t="s">
        <v>45</v>
      </c>
      <c r="G177" s="7" t="s">
        <v>22</v>
      </c>
      <c r="H177" s="7" t="s">
        <v>23</v>
      </c>
      <c r="I177" s="7" t="s">
        <v>24</v>
      </c>
      <c r="J177" s="7">
        <v>3</v>
      </c>
      <c r="K177" s="9">
        <v>24000</v>
      </c>
      <c r="L177" s="9">
        <v>9500</v>
      </c>
      <c r="M177" s="9">
        <v>72000</v>
      </c>
      <c r="N177" s="9">
        <v>28500</v>
      </c>
      <c r="O177" s="9">
        <v>43500</v>
      </c>
      <c r="P177" s="10">
        <v>0.60416666666666663</v>
      </c>
      <c r="Q177" s="7" t="s">
        <v>39</v>
      </c>
      <c r="R177" s="7" t="s">
        <v>26</v>
      </c>
      <c r="S177" s="7">
        <f t="shared" si="6"/>
        <v>2025</v>
      </c>
      <c r="T177" s="7" t="str">
        <f t="shared" si="7"/>
        <v>nov</v>
      </c>
      <c r="U177" s="15">
        <f t="shared" si="8"/>
        <v>45962</v>
      </c>
    </row>
    <row r="178" spans="1:21" x14ac:dyDescent="0.25">
      <c r="A178" s="7">
        <v>177</v>
      </c>
      <c r="B178" s="8">
        <v>45517</v>
      </c>
      <c r="C178" s="7" t="s">
        <v>27</v>
      </c>
      <c r="D178" s="7" t="s">
        <v>55</v>
      </c>
      <c r="E178" s="7" t="s">
        <v>51</v>
      </c>
      <c r="F178" s="7" t="s">
        <v>45</v>
      </c>
      <c r="G178" s="7" t="s">
        <v>36</v>
      </c>
      <c r="H178" s="7" t="s">
        <v>37</v>
      </c>
      <c r="I178" s="7" t="s">
        <v>38</v>
      </c>
      <c r="J178" s="7">
        <v>3</v>
      </c>
      <c r="K178" s="9">
        <v>520000</v>
      </c>
      <c r="L178" s="9">
        <v>365000</v>
      </c>
      <c r="M178" s="9">
        <v>1560000</v>
      </c>
      <c r="N178" s="9">
        <v>1095000</v>
      </c>
      <c r="O178" s="9">
        <v>465000</v>
      </c>
      <c r="P178" s="10">
        <v>0.29807692307692307</v>
      </c>
      <c r="Q178" s="7" t="s">
        <v>33</v>
      </c>
      <c r="R178" s="7" t="s">
        <v>26</v>
      </c>
      <c r="S178" s="7">
        <f t="shared" si="6"/>
        <v>2024</v>
      </c>
      <c r="T178" s="7" t="str">
        <f t="shared" si="7"/>
        <v>ago</v>
      </c>
      <c r="U178" s="15">
        <f t="shared" si="8"/>
        <v>45505</v>
      </c>
    </row>
    <row r="179" spans="1:21" x14ac:dyDescent="0.25">
      <c r="A179" s="7">
        <v>178</v>
      </c>
      <c r="B179" s="8">
        <v>45352</v>
      </c>
      <c r="C179" s="7" t="s">
        <v>18</v>
      </c>
      <c r="D179" s="7" t="s">
        <v>62</v>
      </c>
      <c r="E179" s="7" t="s">
        <v>20</v>
      </c>
      <c r="F179" s="7" t="s">
        <v>21</v>
      </c>
      <c r="G179" s="7" t="s">
        <v>43</v>
      </c>
      <c r="H179" s="7" t="s">
        <v>37</v>
      </c>
      <c r="I179" s="7" t="s">
        <v>44</v>
      </c>
      <c r="J179" s="7">
        <v>1</v>
      </c>
      <c r="K179" s="9">
        <v>28000</v>
      </c>
      <c r="L179" s="9">
        <v>11000</v>
      </c>
      <c r="M179" s="9">
        <v>28000</v>
      </c>
      <c r="N179" s="9">
        <v>11000</v>
      </c>
      <c r="O179" s="9">
        <v>17000</v>
      </c>
      <c r="P179" s="10">
        <v>0.6071428571428571</v>
      </c>
      <c r="Q179" s="7" t="s">
        <v>33</v>
      </c>
      <c r="R179" s="7" t="s">
        <v>26</v>
      </c>
      <c r="S179" s="7">
        <f t="shared" si="6"/>
        <v>2024</v>
      </c>
      <c r="T179" s="7" t="str">
        <f t="shared" si="7"/>
        <v>mar</v>
      </c>
      <c r="U179" s="15">
        <f t="shared" si="8"/>
        <v>45352</v>
      </c>
    </row>
    <row r="180" spans="1:21" x14ac:dyDescent="0.25">
      <c r="A180" s="7">
        <v>179</v>
      </c>
      <c r="B180" s="8">
        <v>45367</v>
      </c>
      <c r="C180" s="7" t="s">
        <v>18</v>
      </c>
      <c r="D180" s="7" t="s">
        <v>42</v>
      </c>
      <c r="E180" s="7" t="s">
        <v>29</v>
      </c>
      <c r="F180" s="7" t="s">
        <v>21</v>
      </c>
      <c r="G180" s="7" t="s">
        <v>30</v>
      </c>
      <c r="H180" s="7" t="s">
        <v>31</v>
      </c>
      <c r="I180" s="7" t="s">
        <v>32</v>
      </c>
      <c r="J180" s="7">
        <v>2</v>
      </c>
      <c r="K180" s="9">
        <v>780000</v>
      </c>
      <c r="L180" s="9">
        <v>590000</v>
      </c>
      <c r="M180" s="9">
        <v>1560000</v>
      </c>
      <c r="N180" s="9">
        <v>1180000</v>
      </c>
      <c r="O180" s="9">
        <v>380000</v>
      </c>
      <c r="P180" s="10">
        <v>0.24358974358974361</v>
      </c>
      <c r="Q180" s="7" t="s">
        <v>25</v>
      </c>
      <c r="R180" s="7" t="s">
        <v>26</v>
      </c>
      <c r="S180" s="7">
        <f t="shared" si="6"/>
        <v>2024</v>
      </c>
      <c r="T180" s="7" t="str">
        <f t="shared" si="7"/>
        <v>mar</v>
      </c>
      <c r="U180" s="15">
        <f t="shared" si="8"/>
        <v>45352</v>
      </c>
    </row>
    <row r="181" spans="1:21" x14ac:dyDescent="0.25">
      <c r="A181" s="7">
        <v>180</v>
      </c>
      <c r="B181" s="8">
        <v>45729</v>
      </c>
      <c r="C181" s="7" t="s">
        <v>27</v>
      </c>
      <c r="D181" s="7" t="s">
        <v>61</v>
      </c>
      <c r="E181" s="7" t="s">
        <v>29</v>
      </c>
      <c r="F181" s="7" t="s">
        <v>45</v>
      </c>
      <c r="G181" s="7" t="s">
        <v>22</v>
      </c>
      <c r="H181" s="7" t="s">
        <v>23</v>
      </c>
      <c r="I181" s="7" t="s">
        <v>24</v>
      </c>
      <c r="J181" s="7">
        <v>3</v>
      </c>
      <c r="K181" s="9">
        <v>390000</v>
      </c>
      <c r="L181" s="9">
        <v>270000</v>
      </c>
      <c r="M181" s="9">
        <v>1170000</v>
      </c>
      <c r="N181" s="9">
        <v>810000</v>
      </c>
      <c r="O181" s="9">
        <v>360000</v>
      </c>
      <c r="P181" s="10">
        <v>0.30769230769230771</v>
      </c>
      <c r="Q181" s="7" t="s">
        <v>41</v>
      </c>
      <c r="R181" s="7" t="s">
        <v>26</v>
      </c>
      <c r="S181" s="7">
        <f t="shared" si="6"/>
        <v>2025</v>
      </c>
      <c r="T181" s="7" t="str">
        <f t="shared" si="7"/>
        <v>mar</v>
      </c>
      <c r="U181" s="15">
        <f t="shared" si="8"/>
        <v>45717</v>
      </c>
    </row>
    <row r="182" spans="1:21" x14ac:dyDescent="0.25">
      <c r="A182" s="7">
        <v>181</v>
      </c>
      <c r="B182" s="8">
        <v>45700</v>
      </c>
      <c r="C182" s="7" t="s">
        <v>18</v>
      </c>
      <c r="D182" s="7" t="s">
        <v>34</v>
      </c>
      <c r="E182" s="7" t="s">
        <v>35</v>
      </c>
      <c r="F182" s="7" t="s">
        <v>45</v>
      </c>
      <c r="G182" s="7" t="s">
        <v>59</v>
      </c>
      <c r="H182" s="7" t="s">
        <v>31</v>
      </c>
      <c r="I182" s="7" t="s">
        <v>60</v>
      </c>
      <c r="J182" s="7">
        <v>4</v>
      </c>
      <c r="K182" s="9">
        <v>115000</v>
      </c>
      <c r="L182" s="9">
        <v>68000</v>
      </c>
      <c r="M182" s="9">
        <v>460000</v>
      </c>
      <c r="N182" s="9">
        <v>272000</v>
      </c>
      <c r="O182" s="9">
        <v>188000</v>
      </c>
      <c r="P182" s="10">
        <v>0.40869565217391313</v>
      </c>
      <c r="Q182" s="7" t="s">
        <v>41</v>
      </c>
      <c r="R182" s="7" t="s">
        <v>26</v>
      </c>
      <c r="S182" s="7">
        <f t="shared" si="6"/>
        <v>2025</v>
      </c>
      <c r="T182" s="7" t="str">
        <f t="shared" si="7"/>
        <v>feb</v>
      </c>
      <c r="U182" s="15">
        <f t="shared" si="8"/>
        <v>45689</v>
      </c>
    </row>
    <row r="183" spans="1:21" x14ac:dyDescent="0.25">
      <c r="A183" s="7">
        <v>182</v>
      </c>
      <c r="B183" s="8">
        <v>45763</v>
      </c>
      <c r="C183" s="7" t="s">
        <v>18</v>
      </c>
      <c r="D183" s="7" t="s">
        <v>62</v>
      </c>
      <c r="E183" s="7" t="s">
        <v>20</v>
      </c>
      <c r="F183" s="7" t="s">
        <v>45</v>
      </c>
      <c r="G183" s="7" t="s">
        <v>59</v>
      </c>
      <c r="H183" s="7" t="s">
        <v>31</v>
      </c>
      <c r="I183" s="7" t="s">
        <v>60</v>
      </c>
      <c r="J183" s="7">
        <v>2</v>
      </c>
      <c r="K183" s="9">
        <v>28000</v>
      </c>
      <c r="L183" s="9">
        <v>11000</v>
      </c>
      <c r="M183" s="9">
        <v>56000</v>
      </c>
      <c r="N183" s="9">
        <v>22000</v>
      </c>
      <c r="O183" s="9">
        <v>34000</v>
      </c>
      <c r="P183" s="10">
        <v>0.6071428571428571</v>
      </c>
      <c r="Q183" s="7" t="s">
        <v>33</v>
      </c>
      <c r="R183" s="7" t="s">
        <v>26</v>
      </c>
      <c r="S183" s="7">
        <f t="shared" si="6"/>
        <v>2025</v>
      </c>
      <c r="T183" s="7" t="str">
        <f t="shared" si="7"/>
        <v>abr</v>
      </c>
      <c r="U183" s="15">
        <f t="shared" si="8"/>
        <v>45748</v>
      </c>
    </row>
    <row r="184" spans="1:21" x14ac:dyDescent="0.25">
      <c r="A184" s="7">
        <v>183</v>
      </c>
      <c r="B184" s="8">
        <v>45306</v>
      </c>
      <c r="C184" s="7" t="s">
        <v>18</v>
      </c>
      <c r="D184" s="7" t="s">
        <v>62</v>
      </c>
      <c r="E184" s="7" t="s">
        <v>20</v>
      </c>
      <c r="F184" s="7" t="s">
        <v>45</v>
      </c>
      <c r="G184" s="7" t="s">
        <v>52</v>
      </c>
      <c r="H184" s="7" t="s">
        <v>53</v>
      </c>
      <c r="I184" s="7" t="s">
        <v>54</v>
      </c>
      <c r="J184" s="7">
        <v>4</v>
      </c>
      <c r="K184" s="9">
        <v>28000</v>
      </c>
      <c r="L184" s="9">
        <v>11000</v>
      </c>
      <c r="M184" s="9">
        <v>112000</v>
      </c>
      <c r="N184" s="9">
        <v>44000</v>
      </c>
      <c r="O184" s="9">
        <v>68000</v>
      </c>
      <c r="P184" s="10">
        <v>0.6071428571428571</v>
      </c>
      <c r="Q184" s="7" t="s">
        <v>39</v>
      </c>
      <c r="R184" s="7" t="s">
        <v>26</v>
      </c>
      <c r="S184" s="7">
        <f t="shared" si="6"/>
        <v>2024</v>
      </c>
      <c r="T184" s="7" t="str">
        <f t="shared" si="7"/>
        <v>ene</v>
      </c>
      <c r="U184" s="15">
        <f t="shared" si="8"/>
        <v>45292</v>
      </c>
    </row>
    <row r="185" spans="1:21" x14ac:dyDescent="0.25">
      <c r="A185" s="7">
        <v>184</v>
      </c>
      <c r="B185" s="8">
        <v>45417</v>
      </c>
      <c r="C185" s="7" t="s">
        <v>27</v>
      </c>
      <c r="D185" s="7" t="s">
        <v>34</v>
      </c>
      <c r="E185" s="7" t="s">
        <v>35</v>
      </c>
      <c r="F185" s="7" t="s">
        <v>45</v>
      </c>
      <c r="G185" s="7" t="s">
        <v>52</v>
      </c>
      <c r="H185" s="7" t="s">
        <v>53</v>
      </c>
      <c r="I185" s="7" t="s">
        <v>54</v>
      </c>
      <c r="J185" s="7">
        <v>1</v>
      </c>
      <c r="K185" s="9">
        <v>115000</v>
      </c>
      <c r="L185" s="9">
        <v>68000</v>
      </c>
      <c r="M185" s="9">
        <v>115000</v>
      </c>
      <c r="N185" s="9">
        <v>68000</v>
      </c>
      <c r="O185" s="9">
        <v>47000</v>
      </c>
      <c r="P185" s="10">
        <v>0.40869565217391313</v>
      </c>
      <c r="Q185" s="7" t="s">
        <v>39</v>
      </c>
      <c r="R185" s="7" t="s">
        <v>26</v>
      </c>
      <c r="S185" s="7">
        <f t="shared" si="6"/>
        <v>2024</v>
      </c>
      <c r="T185" s="7" t="str">
        <f t="shared" si="7"/>
        <v>may</v>
      </c>
      <c r="U185" s="15">
        <f t="shared" si="8"/>
        <v>45413</v>
      </c>
    </row>
    <row r="186" spans="1:21" x14ac:dyDescent="0.25">
      <c r="A186" s="7">
        <v>185</v>
      </c>
      <c r="B186" s="8">
        <v>45666</v>
      </c>
      <c r="C186" s="7" t="s">
        <v>18</v>
      </c>
      <c r="D186" s="7" t="s">
        <v>40</v>
      </c>
      <c r="E186" s="7" t="s">
        <v>35</v>
      </c>
      <c r="F186" s="7" t="s">
        <v>21</v>
      </c>
      <c r="G186" s="7" t="s">
        <v>22</v>
      </c>
      <c r="H186" s="7" t="s">
        <v>23</v>
      </c>
      <c r="I186" s="7" t="s">
        <v>24</v>
      </c>
      <c r="J186" s="7">
        <v>1</v>
      </c>
      <c r="K186" s="9">
        <v>185000</v>
      </c>
      <c r="L186" s="9">
        <v>108000</v>
      </c>
      <c r="M186" s="9">
        <v>185000</v>
      </c>
      <c r="N186" s="9">
        <v>108000</v>
      </c>
      <c r="O186" s="9">
        <v>77000</v>
      </c>
      <c r="P186" s="10">
        <v>0.41621621621621618</v>
      </c>
      <c r="Q186" s="7" t="s">
        <v>39</v>
      </c>
      <c r="R186" s="7" t="s">
        <v>26</v>
      </c>
      <c r="S186" s="7">
        <f t="shared" si="6"/>
        <v>2025</v>
      </c>
      <c r="T186" s="7" t="str">
        <f t="shared" si="7"/>
        <v>ene</v>
      </c>
      <c r="U186" s="15">
        <f t="shared" si="8"/>
        <v>45658</v>
      </c>
    </row>
    <row r="187" spans="1:21" x14ac:dyDescent="0.25">
      <c r="A187" s="7">
        <v>186</v>
      </c>
      <c r="B187" s="8">
        <v>45929</v>
      </c>
      <c r="C187" s="7" t="s">
        <v>27</v>
      </c>
      <c r="D187" s="7" t="s">
        <v>19</v>
      </c>
      <c r="E187" s="7" t="s">
        <v>20</v>
      </c>
      <c r="F187" s="7" t="s">
        <v>21</v>
      </c>
      <c r="G187" s="7" t="s">
        <v>30</v>
      </c>
      <c r="H187" s="7" t="s">
        <v>31</v>
      </c>
      <c r="I187" s="7" t="s">
        <v>32</v>
      </c>
      <c r="J187" s="7">
        <v>1</v>
      </c>
      <c r="K187" s="9">
        <v>24000</v>
      </c>
      <c r="L187" s="9">
        <v>9500</v>
      </c>
      <c r="M187" s="9">
        <v>24000</v>
      </c>
      <c r="N187" s="9">
        <v>9500</v>
      </c>
      <c r="O187" s="9">
        <v>14500</v>
      </c>
      <c r="P187" s="10">
        <v>0.60416666666666663</v>
      </c>
      <c r="Q187" s="7" t="s">
        <v>41</v>
      </c>
      <c r="R187" s="7" t="s">
        <v>26</v>
      </c>
      <c r="S187" s="7">
        <f t="shared" si="6"/>
        <v>2025</v>
      </c>
      <c r="T187" s="7" t="str">
        <f t="shared" si="7"/>
        <v>sept</v>
      </c>
      <c r="U187" s="15">
        <f t="shared" si="8"/>
        <v>45901</v>
      </c>
    </row>
    <row r="188" spans="1:21" x14ac:dyDescent="0.25">
      <c r="A188" s="7">
        <v>187</v>
      </c>
      <c r="B188" s="8">
        <v>45528</v>
      </c>
      <c r="C188" s="7" t="s">
        <v>18</v>
      </c>
      <c r="D188" s="7" t="s">
        <v>40</v>
      </c>
      <c r="E188" s="7" t="s">
        <v>35</v>
      </c>
      <c r="F188" s="7" t="s">
        <v>45</v>
      </c>
      <c r="G188" s="7" t="s">
        <v>30</v>
      </c>
      <c r="H188" s="7" t="s">
        <v>31</v>
      </c>
      <c r="I188" s="7" t="s">
        <v>32</v>
      </c>
      <c r="J188" s="7">
        <v>4</v>
      </c>
      <c r="K188" s="9">
        <v>185000</v>
      </c>
      <c r="L188" s="9">
        <v>108000</v>
      </c>
      <c r="M188" s="9">
        <v>740000</v>
      </c>
      <c r="N188" s="9">
        <v>432000</v>
      </c>
      <c r="O188" s="9">
        <v>308000</v>
      </c>
      <c r="P188" s="10">
        <v>0.41621621621621618</v>
      </c>
      <c r="Q188" s="7" t="s">
        <v>41</v>
      </c>
      <c r="R188" s="7" t="s">
        <v>26</v>
      </c>
      <c r="S188" s="7">
        <f t="shared" si="6"/>
        <v>2024</v>
      </c>
      <c r="T188" s="7" t="str">
        <f t="shared" si="7"/>
        <v>ago</v>
      </c>
      <c r="U188" s="15">
        <f t="shared" si="8"/>
        <v>45505</v>
      </c>
    </row>
    <row r="189" spans="1:21" x14ac:dyDescent="0.25">
      <c r="A189" s="7">
        <v>188</v>
      </c>
      <c r="B189" s="8">
        <v>45831</v>
      </c>
      <c r="C189" s="7" t="s">
        <v>27</v>
      </c>
      <c r="D189" s="7" t="s">
        <v>19</v>
      </c>
      <c r="E189" s="7" t="s">
        <v>20</v>
      </c>
      <c r="F189" s="7" t="s">
        <v>45</v>
      </c>
      <c r="G189" s="7" t="s">
        <v>56</v>
      </c>
      <c r="H189" s="7" t="s">
        <v>57</v>
      </c>
      <c r="I189" s="7" t="s">
        <v>58</v>
      </c>
      <c r="J189" s="7">
        <v>3</v>
      </c>
      <c r="K189" s="9">
        <v>24000</v>
      </c>
      <c r="L189" s="9">
        <v>9500</v>
      </c>
      <c r="M189" s="9">
        <v>72000</v>
      </c>
      <c r="N189" s="9">
        <v>28500</v>
      </c>
      <c r="O189" s="9">
        <v>43500</v>
      </c>
      <c r="P189" s="10">
        <v>0.60416666666666663</v>
      </c>
      <c r="Q189" s="7" t="s">
        <v>33</v>
      </c>
      <c r="R189" s="7" t="s">
        <v>26</v>
      </c>
      <c r="S189" s="7">
        <f t="shared" si="6"/>
        <v>2025</v>
      </c>
      <c r="T189" s="7" t="str">
        <f t="shared" si="7"/>
        <v>jun</v>
      </c>
      <c r="U189" s="15">
        <f t="shared" si="8"/>
        <v>45809</v>
      </c>
    </row>
    <row r="190" spans="1:21" x14ac:dyDescent="0.25">
      <c r="A190" s="7">
        <v>189</v>
      </c>
      <c r="B190" s="8">
        <v>45721</v>
      </c>
      <c r="C190" s="7" t="s">
        <v>18</v>
      </c>
      <c r="D190" s="7" t="s">
        <v>40</v>
      </c>
      <c r="E190" s="7" t="s">
        <v>35</v>
      </c>
      <c r="F190" s="7" t="s">
        <v>21</v>
      </c>
      <c r="G190" s="7" t="s">
        <v>59</v>
      </c>
      <c r="H190" s="7" t="s">
        <v>31</v>
      </c>
      <c r="I190" s="7" t="s">
        <v>60</v>
      </c>
      <c r="J190" s="7">
        <v>3</v>
      </c>
      <c r="K190" s="9">
        <v>185000</v>
      </c>
      <c r="L190" s="9">
        <v>108000</v>
      </c>
      <c r="M190" s="9">
        <v>555000</v>
      </c>
      <c r="N190" s="9">
        <v>324000</v>
      </c>
      <c r="O190" s="9">
        <v>231000</v>
      </c>
      <c r="P190" s="10">
        <v>0.41621621621621618</v>
      </c>
      <c r="Q190" s="7" t="s">
        <v>33</v>
      </c>
      <c r="R190" s="7" t="s">
        <v>26</v>
      </c>
      <c r="S190" s="7">
        <f t="shared" si="6"/>
        <v>2025</v>
      </c>
      <c r="T190" s="7" t="str">
        <f t="shared" si="7"/>
        <v>mar</v>
      </c>
      <c r="U190" s="15">
        <f t="shared" si="8"/>
        <v>45717</v>
      </c>
    </row>
    <row r="191" spans="1:21" x14ac:dyDescent="0.25">
      <c r="A191" s="7">
        <v>190</v>
      </c>
      <c r="B191" s="8">
        <v>46013</v>
      </c>
      <c r="C191" s="7" t="s">
        <v>27</v>
      </c>
      <c r="D191" s="7" t="s">
        <v>55</v>
      </c>
      <c r="E191" s="7" t="s">
        <v>51</v>
      </c>
      <c r="F191" s="7" t="s">
        <v>45</v>
      </c>
      <c r="G191" s="7" t="s">
        <v>52</v>
      </c>
      <c r="H191" s="7" t="s">
        <v>53</v>
      </c>
      <c r="I191" s="7" t="s">
        <v>54</v>
      </c>
      <c r="J191" s="7">
        <v>4</v>
      </c>
      <c r="K191" s="9">
        <v>520000</v>
      </c>
      <c r="L191" s="9">
        <v>365000</v>
      </c>
      <c r="M191" s="9">
        <v>2080000</v>
      </c>
      <c r="N191" s="9">
        <v>1460000</v>
      </c>
      <c r="O191" s="9">
        <v>620000</v>
      </c>
      <c r="P191" s="10">
        <v>0.29807692307692307</v>
      </c>
      <c r="Q191" s="7" t="s">
        <v>25</v>
      </c>
      <c r="R191" s="7" t="s">
        <v>26</v>
      </c>
      <c r="S191" s="7">
        <f t="shared" si="6"/>
        <v>2025</v>
      </c>
      <c r="T191" s="7" t="str">
        <f t="shared" si="7"/>
        <v>dic</v>
      </c>
      <c r="U191" s="15">
        <f t="shared" si="8"/>
        <v>45992</v>
      </c>
    </row>
    <row r="192" spans="1:21" x14ac:dyDescent="0.25">
      <c r="A192" s="7">
        <v>191</v>
      </c>
      <c r="B192" s="8">
        <v>45616</v>
      </c>
      <c r="C192" s="7" t="s">
        <v>18</v>
      </c>
      <c r="D192" s="7" t="s">
        <v>28</v>
      </c>
      <c r="E192" s="7" t="s">
        <v>29</v>
      </c>
      <c r="F192" s="7" t="s">
        <v>45</v>
      </c>
      <c r="G192" s="7" t="s">
        <v>59</v>
      </c>
      <c r="H192" s="7" t="s">
        <v>31</v>
      </c>
      <c r="I192" s="7" t="s">
        <v>60</v>
      </c>
      <c r="J192" s="7">
        <v>1</v>
      </c>
      <c r="K192" s="9">
        <v>220000</v>
      </c>
      <c r="L192" s="9">
        <v>145000</v>
      </c>
      <c r="M192" s="9">
        <v>220000</v>
      </c>
      <c r="N192" s="9">
        <v>145000</v>
      </c>
      <c r="O192" s="9">
        <v>75000</v>
      </c>
      <c r="P192" s="10">
        <v>0.34090909090909088</v>
      </c>
      <c r="Q192" s="7" t="s">
        <v>39</v>
      </c>
      <c r="R192" s="7" t="s">
        <v>26</v>
      </c>
      <c r="S192" s="7">
        <f t="shared" si="6"/>
        <v>2024</v>
      </c>
      <c r="T192" s="7" t="str">
        <f t="shared" si="7"/>
        <v>nov</v>
      </c>
      <c r="U192" s="15">
        <f t="shared" si="8"/>
        <v>45597</v>
      </c>
    </row>
    <row r="193" spans="1:21" x14ac:dyDescent="0.25">
      <c r="A193" s="7">
        <v>192</v>
      </c>
      <c r="B193" s="8">
        <v>45862</v>
      </c>
      <c r="C193" s="7" t="s">
        <v>27</v>
      </c>
      <c r="D193" s="7" t="s">
        <v>42</v>
      </c>
      <c r="E193" s="7" t="s">
        <v>29</v>
      </c>
      <c r="F193" s="7" t="s">
        <v>45</v>
      </c>
      <c r="G193" s="7" t="s">
        <v>30</v>
      </c>
      <c r="H193" s="7" t="s">
        <v>31</v>
      </c>
      <c r="I193" s="7" t="s">
        <v>32</v>
      </c>
      <c r="J193" s="7">
        <v>3</v>
      </c>
      <c r="K193" s="9">
        <v>780000</v>
      </c>
      <c r="L193" s="9">
        <v>590000</v>
      </c>
      <c r="M193" s="9">
        <v>2340000</v>
      </c>
      <c r="N193" s="9">
        <v>1770000</v>
      </c>
      <c r="O193" s="9">
        <v>570000</v>
      </c>
      <c r="P193" s="10">
        <v>0.24358974358974361</v>
      </c>
      <c r="Q193" s="7" t="s">
        <v>41</v>
      </c>
      <c r="R193" s="7" t="s">
        <v>26</v>
      </c>
      <c r="S193" s="7">
        <f t="shared" si="6"/>
        <v>2025</v>
      </c>
      <c r="T193" s="7" t="str">
        <f t="shared" si="7"/>
        <v>jul</v>
      </c>
      <c r="U193" s="15">
        <f t="shared" si="8"/>
        <v>45839</v>
      </c>
    </row>
    <row r="194" spans="1:21" x14ac:dyDescent="0.25">
      <c r="A194" s="7">
        <v>193</v>
      </c>
      <c r="B194" s="8">
        <v>45979</v>
      </c>
      <c r="C194" s="7" t="s">
        <v>27</v>
      </c>
      <c r="D194" s="7" t="s">
        <v>34</v>
      </c>
      <c r="E194" s="7" t="s">
        <v>35</v>
      </c>
      <c r="F194" s="7" t="s">
        <v>21</v>
      </c>
      <c r="G194" s="7" t="s">
        <v>36</v>
      </c>
      <c r="H194" s="7" t="s">
        <v>37</v>
      </c>
      <c r="I194" s="7" t="s">
        <v>38</v>
      </c>
      <c r="J194" s="7">
        <v>4</v>
      </c>
      <c r="K194" s="9">
        <v>115000</v>
      </c>
      <c r="L194" s="9">
        <v>68000</v>
      </c>
      <c r="M194" s="9">
        <v>460000</v>
      </c>
      <c r="N194" s="9">
        <v>272000</v>
      </c>
      <c r="O194" s="9">
        <v>188000</v>
      </c>
      <c r="P194" s="10">
        <v>0.40869565217391313</v>
      </c>
      <c r="Q194" s="7" t="s">
        <v>33</v>
      </c>
      <c r="R194" s="7" t="s">
        <v>26</v>
      </c>
      <c r="S194" s="7">
        <f t="shared" ref="S194:S201" si="9">YEAR(B194)</f>
        <v>2025</v>
      </c>
      <c r="T194" s="7" t="str">
        <f t="shared" ref="T194:T201" si="10">TEXT(B194,"mmm")</f>
        <v>nov</v>
      </c>
      <c r="U194" s="15">
        <f t="shared" ref="U194:U201" si="11">DATE(YEAR(B194),MONTH(B194),1)</f>
        <v>45962</v>
      </c>
    </row>
    <row r="195" spans="1:21" x14ac:dyDescent="0.25">
      <c r="A195" s="7">
        <v>194</v>
      </c>
      <c r="B195" s="8">
        <v>45358</v>
      </c>
      <c r="C195" s="7" t="s">
        <v>18</v>
      </c>
      <c r="D195" s="7" t="s">
        <v>40</v>
      </c>
      <c r="E195" s="7" t="s">
        <v>35</v>
      </c>
      <c r="F195" s="7" t="s">
        <v>45</v>
      </c>
      <c r="G195" s="7" t="s">
        <v>22</v>
      </c>
      <c r="H195" s="7" t="s">
        <v>23</v>
      </c>
      <c r="I195" s="7" t="s">
        <v>24</v>
      </c>
      <c r="J195" s="7">
        <v>3</v>
      </c>
      <c r="K195" s="9">
        <v>185000</v>
      </c>
      <c r="L195" s="9">
        <v>108000</v>
      </c>
      <c r="M195" s="9">
        <v>555000</v>
      </c>
      <c r="N195" s="9">
        <v>324000</v>
      </c>
      <c r="O195" s="9">
        <v>231000</v>
      </c>
      <c r="P195" s="10">
        <v>0.41621621621621618</v>
      </c>
      <c r="Q195" s="7" t="s">
        <v>41</v>
      </c>
      <c r="R195" s="7" t="s">
        <v>26</v>
      </c>
      <c r="S195" s="7">
        <f t="shared" si="9"/>
        <v>2024</v>
      </c>
      <c r="T195" s="7" t="str">
        <f t="shared" si="10"/>
        <v>mar</v>
      </c>
      <c r="U195" s="15">
        <f t="shared" si="11"/>
        <v>45352</v>
      </c>
    </row>
    <row r="196" spans="1:21" x14ac:dyDescent="0.25">
      <c r="A196" s="7">
        <v>195</v>
      </c>
      <c r="B196" s="8">
        <v>45932</v>
      </c>
      <c r="C196" s="7" t="s">
        <v>27</v>
      </c>
      <c r="D196" s="7" t="s">
        <v>55</v>
      </c>
      <c r="E196" s="7" t="s">
        <v>51</v>
      </c>
      <c r="F196" s="7" t="s">
        <v>45</v>
      </c>
      <c r="G196" s="7" t="s">
        <v>52</v>
      </c>
      <c r="H196" s="7" t="s">
        <v>53</v>
      </c>
      <c r="I196" s="7" t="s">
        <v>54</v>
      </c>
      <c r="J196" s="7">
        <v>4</v>
      </c>
      <c r="K196" s="9">
        <v>520000</v>
      </c>
      <c r="L196" s="9">
        <v>365000</v>
      </c>
      <c r="M196" s="9">
        <v>2080000</v>
      </c>
      <c r="N196" s="9">
        <v>1460000</v>
      </c>
      <c r="O196" s="9">
        <v>620000</v>
      </c>
      <c r="P196" s="10">
        <v>0.29807692307692307</v>
      </c>
      <c r="Q196" s="7" t="s">
        <v>33</v>
      </c>
      <c r="R196" s="7" t="s">
        <v>26</v>
      </c>
      <c r="S196" s="7">
        <f t="shared" si="9"/>
        <v>2025</v>
      </c>
      <c r="T196" s="7" t="str">
        <f t="shared" si="10"/>
        <v>oct</v>
      </c>
      <c r="U196" s="15">
        <f t="shared" si="11"/>
        <v>45931</v>
      </c>
    </row>
    <row r="197" spans="1:21" x14ac:dyDescent="0.25">
      <c r="A197" s="7">
        <v>196</v>
      </c>
      <c r="B197" s="8">
        <v>45896</v>
      </c>
      <c r="C197" s="7" t="s">
        <v>27</v>
      </c>
      <c r="D197" s="7" t="s">
        <v>49</v>
      </c>
      <c r="E197" s="7" t="s">
        <v>20</v>
      </c>
      <c r="F197" s="7" t="s">
        <v>21</v>
      </c>
      <c r="G197" s="7" t="s">
        <v>56</v>
      </c>
      <c r="H197" s="7" t="s">
        <v>57</v>
      </c>
      <c r="I197" s="7" t="s">
        <v>58</v>
      </c>
      <c r="J197" s="7">
        <v>1</v>
      </c>
      <c r="K197" s="9">
        <v>45000</v>
      </c>
      <c r="L197" s="9">
        <v>21000</v>
      </c>
      <c r="M197" s="9">
        <v>45000</v>
      </c>
      <c r="N197" s="9">
        <v>21000</v>
      </c>
      <c r="O197" s="9">
        <v>24000</v>
      </c>
      <c r="P197" s="10">
        <v>0.53333333333333333</v>
      </c>
      <c r="Q197" s="7" t="s">
        <v>33</v>
      </c>
      <c r="R197" s="7" t="s">
        <v>26</v>
      </c>
      <c r="S197" s="7">
        <f t="shared" si="9"/>
        <v>2025</v>
      </c>
      <c r="T197" s="7" t="str">
        <f t="shared" si="10"/>
        <v>ago</v>
      </c>
      <c r="U197" s="15">
        <f t="shared" si="11"/>
        <v>45870</v>
      </c>
    </row>
    <row r="198" spans="1:21" x14ac:dyDescent="0.25">
      <c r="A198" s="7">
        <v>197</v>
      </c>
      <c r="B198" s="8">
        <v>45721</v>
      </c>
      <c r="C198" s="7" t="s">
        <v>27</v>
      </c>
      <c r="D198" s="7" t="s">
        <v>34</v>
      </c>
      <c r="E198" s="7" t="s">
        <v>35</v>
      </c>
      <c r="F198" s="7" t="s">
        <v>45</v>
      </c>
      <c r="G198" s="7" t="s">
        <v>22</v>
      </c>
      <c r="H198" s="7" t="s">
        <v>23</v>
      </c>
      <c r="I198" s="7" t="s">
        <v>24</v>
      </c>
      <c r="J198" s="7">
        <v>3</v>
      </c>
      <c r="K198" s="9">
        <v>115000</v>
      </c>
      <c r="L198" s="9">
        <v>68000</v>
      </c>
      <c r="M198" s="9">
        <v>345000</v>
      </c>
      <c r="N198" s="9">
        <v>204000</v>
      </c>
      <c r="O198" s="9">
        <v>141000</v>
      </c>
      <c r="P198" s="10">
        <v>0.40869565217391313</v>
      </c>
      <c r="Q198" s="7" t="s">
        <v>33</v>
      </c>
      <c r="R198" s="7" t="s">
        <v>26</v>
      </c>
      <c r="S198" s="7">
        <f t="shared" si="9"/>
        <v>2025</v>
      </c>
      <c r="T198" s="7" t="str">
        <f t="shared" si="10"/>
        <v>mar</v>
      </c>
      <c r="U198" s="15">
        <f t="shared" si="11"/>
        <v>45717</v>
      </c>
    </row>
    <row r="199" spans="1:21" x14ac:dyDescent="0.25">
      <c r="A199" s="7">
        <v>198</v>
      </c>
      <c r="B199" s="8">
        <v>45894</v>
      </c>
      <c r="C199" s="7" t="s">
        <v>27</v>
      </c>
      <c r="D199" s="7" t="s">
        <v>19</v>
      </c>
      <c r="E199" s="7" t="s">
        <v>20</v>
      </c>
      <c r="F199" s="7" t="s">
        <v>21</v>
      </c>
      <c r="G199" s="7" t="s">
        <v>56</v>
      </c>
      <c r="H199" s="7" t="s">
        <v>57</v>
      </c>
      <c r="I199" s="7" t="s">
        <v>58</v>
      </c>
      <c r="J199" s="7">
        <v>3</v>
      </c>
      <c r="K199" s="9">
        <v>24000</v>
      </c>
      <c r="L199" s="9">
        <v>9500</v>
      </c>
      <c r="M199" s="9">
        <v>72000</v>
      </c>
      <c r="N199" s="9">
        <v>28500</v>
      </c>
      <c r="O199" s="9">
        <v>43500</v>
      </c>
      <c r="P199" s="10">
        <v>0.60416666666666663</v>
      </c>
      <c r="Q199" s="7" t="s">
        <v>39</v>
      </c>
      <c r="R199" s="7" t="s">
        <v>26</v>
      </c>
      <c r="S199" s="7">
        <f t="shared" si="9"/>
        <v>2025</v>
      </c>
      <c r="T199" s="7" t="str">
        <f t="shared" si="10"/>
        <v>ago</v>
      </c>
      <c r="U199" s="15">
        <f t="shared" si="11"/>
        <v>45870</v>
      </c>
    </row>
    <row r="200" spans="1:21" x14ac:dyDescent="0.25">
      <c r="A200" s="7">
        <v>199</v>
      </c>
      <c r="B200" s="8">
        <v>45308</v>
      </c>
      <c r="C200" s="7" t="s">
        <v>18</v>
      </c>
      <c r="D200" s="7" t="s">
        <v>28</v>
      </c>
      <c r="E200" s="7" t="s">
        <v>29</v>
      </c>
      <c r="F200" s="7" t="s">
        <v>45</v>
      </c>
      <c r="G200" s="7" t="s">
        <v>36</v>
      </c>
      <c r="H200" s="7" t="s">
        <v>37</v>
      </c>
      <c r="I200" s="7" t="s">
        <v>38</v>
      </c>
      <c r="J200" s="7">
        <v>3</v>
      </c>
      <c r="K200" s="9">
        <v>220000</v>
      </c>
      <c r="L200" s="9">
        <v>145000</v>
      </c>
      <c r="M200" s="9">
        <v>660000</v>
      </c>
      <c r="N200" s="9">
        <v>435000</v>
      </c>
      <c r="O200" s="9">
        <v>225000</v>
      </c>
      <c r="P200" s="10">
        <v>0.34090909090909088</v>
      </c>
      <c r="Q200" s="7" t="s">
        <v>25</v>
      </c>
      <c r="R200" s="7" t="s">
        <v>26</v>
      </c>
      <c r="S200" s="7">
        <f t="shared" si="9"/>
        <v>2024</v>
      </c>
      <c r="T200" s="7" t="str">
        <f t="shared" si="10"/>
        <v>ene</v>
      </c>
      <c r="U200" s="15">
        <f t="shared" si="11"/>
        <v>45292</v>
      </c>
    </row>
    <row r="201" spans="1:21" x14ac:dyDescent="0.25">
      <c r="A201" s="7">
        <v>200</v>
      </c>
      <c r="B201" s="8">
        <v>45696</v>
      </c>
      <c r="C201" s="7" t="s">
        <v>27</v>
      </c>
      <c r="D201" s="7" t="s">
        <v>40</v>
      </c>
      <c r="E201" s="7" t="s">
        <v>35</v>
      </c>
      <c r="F201" s="7" t="s">
        <v>21</v>
      </c>
      <c r="G201" s="7" t="s">
        <v>22</v>
      </c>
      <c r="H201" s="7" t="s">
        <v>23</v>
      </c>
      <c r="I201" s="7" t="s">
        <v>24</v>
      </c>
      <c r="J201" s="7">
        <v>3</v>
      </c>
      <c r="K201" s="9">
        <v>185000</v>
      </c>
      <c r="L201" s="9">
        <v>108000</v>
      </c>
      <c r="M201" s="9">
        <v>555000</v>
      </c>
      <c r="N201" s="9">
        <v>324000</v>
      </c>
      <c r="O201" s="9">
        <v>231000</v>
      </c>
      <c r="P201" s="10">
        <v>0.41621621621621618</v>
      </c>
      <c r="Q201" s="7" t="s">
        <v>25</v>
      </c>
      <c r="R201" s="7" t="s">
        <v>26</v>
      </c>
      <c r="S201" s="13">
        <f t="shared" si="9"/>
        <v>2025</v>
      </c>
      <c r="T201" s="13" t="str">
        <f t="shared" si="10"/>
        <v>feb</v>
      </c>
      <c r="U201" s="16">
        <f t="shared" si="11"/>
        <v>45689</v>
      </c>
    </row>
  </sheetData>
  <phoneticPr fontId="5" type="noConversion"/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G19"/>
  <sheetViews>
    <sheetView showGridLines="0" workbookViewId="0">
      <selection activeCell="B19" sqref="B19:G19"/>
    </sheetView>
  </sheetViews>
  <sheetFormatPr baseColWidth="10" defaultColWidth="9.140625" defaultRowHeight="15" x14ac:dyDescent="0.25"/>
  <cols>
    <col min="1" max="1" width="32" customWidth="1"/>
    <col min="2" max="2" width="70" customWidth="1"/>
  </cols>
  <sheetData>
    <row r="1" spans="1:7" ht="21" x14ac:dyDescent="0.35">
      <c r="A1" s="40" t="s">
        <v>67</v>
      </c>
      <c r="B1" s="41"/>
      <c r="C1" s="41"/>
      <c r="D1" s="41"/>
      <c r="E1" s="41"/>
      <c r="F1" s="41"/>
      <c r="G1" s="41"/>
    </row>
    <row r="3" spans="1:7" x14ac:dyDescent="0.25">
      <c r="A3" t="s">
        <v>68</v>
      </c>
      <c r="B3">
        <v>50000000</v>
      </c>
    </row>
    <row r="4" spans="1:7" x14ac:dyDescent="0.25">
      <c r="A4" t="s">
        <v>69</v>
      </c>
      <c r="B4">
        <v>35000000</v>
      </c>
    </row>
    <row r="5" spans="1:7" x14ac:dyDescent="0.25">
      <c r="A5" t="s">
        <v>70</v>
      </c>
      <c r="B5" s="4">
        <v>0.55000000000000004</v>
      </c>
    </row>
    <row r="6" spans="1:7" x14ac:dyDescent="0.25">
      <c r="A6" t="s">
        <v>71</v>
      </c>
      <c r="B6">
        <v>36</v>
      </c>
    </row>
    <row r="7" spans="1:7" x14ac:dyDescent="0.25">
      <c r="A7" t="s">
        <v>72</v>
      </c>
      <c r="B7" s="4">
        <v>0.4</v>
      </c>
    </row>
    <row r="9" spans="1:7" x14ac:dyDescent="0.25">
      <c r="A9" t="s">
        <v>73</v>
      </c>
      <c r="B9" s="11">
        <f>-PMT(B5/12,B6,B4)</f>
        <v>2003275.5780088184</v>
      </c>
    </row>
    <row r="11" spans="1:7" x14ac:dyDescent="0.25">
      <c r="A11" t="s">
        <v>74</v>
      </c>
      <c r="B11" t="s">
        <v>75</v>
      </c>
      <c r="C11" t="s">
        <v>76</v>
      </c>
      <c r="D11" t="s">
        <v>77</v>
      </c>
      <c r="E11" t="s">
        <v>78</v>
      </c>
      <c r="F11" t="s">
        <v>79</v>
      </c>
      <c r="G11" t="s">
        <v>80</v>
      </c>
    </row>
    <row r="12" spans="1:7" x14ac:dyDescent="0.25">
      <c r="A12" t="s">
        <v>81</v>
      </c>
      <c r="B12">
        <v>-50000000</v>
      </c>
      <c r="C12">
        <v>18000000</v>
      </c>
      <c r="D12">
        <v>22000000</v>
      </c>
      <c r="E12">
        <v>25000000</v>
      </c>
      <c r="F12">
        <v>28000000</v>
      </c>
      <c r="G12">
        <v>32000000</v>
      </c>
    </row>
    <row r="14" spans="1:7" x14ac:dyDescent="0.25">
      <c r="A14" t="s">
        <v>82</v>
      </c>
      <c r="B14" s="11">
        <f>NPV(B7,C12:G12)+B12</f>
        <v>-3569048.6106979102</v>
      </c>
    </row>
    <row r="15" spans="1:7" x14ac:dyDescent="0.25">
      <c r="A15" t="s">
        <v>83</v>
      </c>
      <c r="B15" s="4">
        <f>IRR(B12:G12)</f>
        <v>0.36133170614637122</v>
      </c>
    </row>
    <row r="17" spans="1:7" x14ac:dyDescent="0.25">
      <c r="A17" t="s">
        <v>73</v>
      </c>
      <c r="B17" s="11">
        <f>B9</f>
        <v>2003275.5780088184</v>
      </c>
    </row>
    <row r="19" spans="1:7" x14ac:dyDescent="0.25">
      <c r="A19" t="s">
        <v>84</v>
      </c>
      <c r="B19" s="42" t="str">
        <f>IF(AND(B14&gt;0,B15&gt;B7),"ACEPTAR: genera valor sobre el costo de capital.","REVISAR: no supera el costo de capital.")</f>
        <v>REVISAR: no supera el costo de capital.</v>
      </c>
      <c r="C19" s="42"/>
      <c r="D19" s="42"/>
      <c r="E19" s="42"/>
      <c r="F19" s="42"/>
      <c r="G19" s="42"/>
    </row>
  </sheetData>
  <mergeCells count="2">
    <mergeCell ref="A1:G1"/>
    <mergeCell ref="B19:G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H19"/>
  <sheetViews>
    <sheetView showGridLines="0" topLeftCell="A15" workbookViewId="0">
      <selection activeCell="I27" sqref="I27"/>
    </sheetView>
  </sheetViews>
  <sheetFormatPr baseColWidth="10" defaultColWidth="9.140625" defaultRowHeight="15" x14ac:dyDescent="0.25"/>
  <cols>
    <col min="2" max="2" width="13" bestFit="1" customWidth="1"/>
    <col min="3" max="3" width="11.85546875" bestFit="1" customWidth="1"/>
    <col min="5" max="5" width="18.5703125" bestFit="1" customWidth="1"/>
    <col min="6" max="6" width="11.85546875" bestFit="1" customWidth="1"/>
    <col min="7" max="7" width="10.85546875" bestFit="1" customWidth="1"/>
  </cols>
  <sheetData>
    <row r="1" spans="1:8" ht="23.25" x14ac:dyDescent="0.35">
      <c r="A1" s="43" t="s">
        <v>85</v>
      </c>
      <c r="B1" s="41"/>
      <c r="C1" s="41"/>
      <c r="D1" s="41"/>
      <c r="E1" s="41"/>
      <c r="F1" s="41"/>
      <c r="G1" s="41"/>
      <c r="H1" s="41"/>
    </row>
    <row r="3" spans="1:8" x14ac:dyDescent="0.25">
      <c r="A3" t="s">
        <v>86</v>
      </c>
    </row>
    <row r="5" spans="1:8" x14ac:dyDescent="0.25">
      <c r="A5" t="s">
        <v>87</v>
      </c>
      <c r="B5" s="3">
        <f>SUM(Datos_Limpios_PQ!M2:M201)</f>
        <v>131820000</v>
      </c>
    </row>
    <row r="6" spans="1:8" x14ac:dyDescent="0.25">
      <c r="A6" t="s">
        <v>88</v>
      </c>
      <c r="B6" s="3">
        <f>SUM(Datos_Limpios_PQ!O2:O201)</f>
        <v>41086000</v>
      </c>
    </row>
    <row r="7" spans="1:8" x14ac:dyDescent="0.25">
      <c r="A7" t="s">
        <v>89</v>
      </c>
      <c r="B7" s="4">
        <f>B6/B5</f>
        <v>0.31168259748141403</v>
      </c>
    </row>
    <row r="8" spans="1:8" x14ac:dyDescent="0.25">
      <c r="A8" t="s">
        <v>90</v>
      </c>
      <c r="B8">
        <f>SUM(Datos_Limpios_PQ!J2:J201)</f>
        <v>493</v>
      </c>
    </row>
    <row r="10" spans="1:8" x14ac:dyDescent="0.25">
      <c r="A10" t="s">
        <v>91</v>
      </c>
      <c r="E10" t="s">
        <v>92</v>
      </c>
    </row>
    <row r="11" spans="1:8" x14ac:dyDescent="0.25">
      <c r="A11" s="5" t="s">
        <v>4</v>
      </c>
      <c r="B11" s="5" t="s">
        <v>12</v>
      </c>
      <c r="C11" s="5" t="s">
        <v>14</v>
      </c>
      <c r="D11" s="5"/>
      <c r="E11" s="5" t="s">
        <v>6</v>
      </c>
      <c r="F11" s="5" t="s">
        <v>12</v>
      </c>
      <c r="G11" s="5" t="s">
        <v>14</v>
      </c>
      <c r="H11" s="5"/>
    </row>
    <row r="12" spans="1:8" x14ac:dyDescent="0.25">
      <c r="A12" t="s">
        <v>20</v>
      </c>
      <c r="B12" s="3">
        <f>SUMIF(Datos_Limpios_PQ!E:E,A12,Datos_Limpios_PQ!M:M)</f>
        <v>4460000</v>
      </c>
      <c r="C12" s="3">
        <f>SUMIF(Datos_Limpios_PQ!E:E,A12,Datos_Limpios_PQ!O:O)</f>
        <v>2571000</v>
      </c>
      <c r="E12" t="s">
        <v>56</v>
      </c>
      <c r="F12" s="3">
        <f>SUMIF(Datos_Limpios_PQ!G:G,E12,Datos_Limpios_PQ!M:M)</f>
        <v>15672000</v>
      </c>
      <c r="G12" s="3">
        <f>SUMIF(Datos_Limpios_PQ!G:G,E12,Datos_Limpios_PQ!O:O)</f>
        <v>5052000</v>
      </c>
    </row>
    <row r="13" spans="1:8" x14ac:dyDescent="0.25">
      <c r="A13" t="s">
        <v>29</v>
      </c>
      <c r="B13" s="3">
        <f>SUMIF(Datos_Limpios_PQ!E:E,A13,Datos_Limpios_PQ!M:M)</f>
        <v>65200000</v>
      </c>
      <c r="C13" s="3">
        <f>SUMIF(Datos_Limpios_PQ!E:E,A13,Datos_Limpios_PQ!O:O)</f>
        <v>17710000</v>
      </c>
      <c r="E13" t="s">
        <v>43</v>
      </c>
      <c r="F13" s="3">
        <f>SUMIF(Datos_Limpios_PQ!G:G,E13,Datos_Limpios_PQ!M:M)</f>
        <v>17457000</v>
      </c>
      <c r="G13" s="3">
        <f>SUMIF(Datos_Limpios_PQ!G:G,E13,Datos_Limpios_PQ!O:O)</f>
        <v>5246000</v>
      </c>
    </row>
    <row r="14" spans="1:8" x14ac:dyDescent="0.25">
      <c r="A14" t="s">
        <v>35</v>
      </c>
      <c r="B14" s="3">
        <f>SUMIF(Datos_Limpios_PQ!E:E,A14,Datos_Limpios_PQ!M:M)</f>
        <v>17510000</v>
      </c>
      <c r="C14" s="3">
        <f>SUMIF(Datos_Limpios_PQ!E:E,A14,Datos_Limpios_PQ!O:O)</f>
        <v>7230000</v>
      </c>
      <c r="E14" t="s">
        <v>59</v>
      </c>
      <c r="F14" s="3">
        <f>SUMIF(Datos_Limpios_PQ!G:G,E14,Datos_Limpios_PQ!M:M)</f>
        <v>14793000</v>
      </c>
      <c r="G14" s="3">
        <f>SUMIF(Datos_Limpios_PQ!G:G,E14,Datos_Limpios_PQ!O:O)</f>
        <v>4880000</v>
      </c>
    </row>
    <row r="15" spans="1:8" x14ac:dyDescent="0.25">
      <c r="A15" t="s">
        <v>51</v>
      </c>
      <c r="B15" s="3">
        <f>SUMIF(Datos_Limpios_PQ!E:E,A15,Datos_Limpios_PQ!M:M)</f>
        <v>44650000</v>
      </c>
      <c r="C15" s="3">
        <f>SUMIF(Datos_Limpios_PQ!E:E,A15,Datos_Limpios_PQ!O:O)</f>
        <v>13575000</v>
      </c>
      <c r="E15" t="s">
        <v>52</v>
      </c>
      <c r="F15" s="3">
        <f>SUMIF(Datos_Limpios_PQ!G:G,E15,Datos_Limpios_PQ!M:M)</f>
        <v>20067000</v>
      </c>
      <c r="G15" s="3">
        <f>SUMIF(Datos_Limpios_PQ!G:G,E15,Datos_Limpios_PQ!O:O)</f>
        <v>5867500</v>
      </c>
    </row>
    <row r="16" spans="1:8" x14ac:dyDescent="0.25">
      <c r="E16" t="s">
        <v>22</v>
      </c>
      <c r="F16" s="3">
        <f>SUMIF(Datos_Limpios_PQ!G:G,E16,Datos_Limpios_PQ!M:M)</f>
        <v>20143000</v>
      </c>
      <c r="G16" s="3">
        <f>SUMIF(Datos_Limpios_PQ!G:G,E16,Datos_Limpios_PQ!O:O)</f>
        <v>6741000</v>
      </c>
    </row>
    <row r="17" spans="5:7" x14ac:dyDescent="0.25">
      <c r="E17" t="s">
        <v>36</v>
      </c>
      <c r="F17" s="3">
        <f>SUMIF(Datos_Limpios_PQ!G:G,E17,Datos_Limpios_PQ!M:M)</f>
        <v>19976000</v>
      </c>
      <c r="G17" s="3">
        <f>SUMIF(Datos_Limpios_PQ!G:G,E17,Datos_Limpios_PQ!O:O)</f>
        <v>5964500</v>
      </c>
    </row>
    <row r="18" spans="5:7" x14ac:dyDescent="0.25">
      <c r="E18" t="s">
        <v>30</v>
      </c>
      <c r="F18" s="3">
        <f>SUMIF(Datos_Limpios_PQ!G:G,E18,Datos_Limpios_PQ!M:M)</f>
        <v>14650000</v>
      </c>
      <c r="G18" s="3">
        <f>SUMIF(Datos_Limpios_PQ!G:G,E18,Datos_Limpios_PQ!O:O)</f>
        <v>4271500</v>
      </c>
    </row>
    <row r="19" spans="5:7" x14ac:dyDescent="0.25">
      <c r="E19" t="s">
        <v>46</v>
      </c>
      <c r="F19" s="3">
        <f>SUMIF(Datos_Limpios_PQ!G:G,E19,Datos_Limpios_PQ!M:M)</f>
        <v>9062000</v>
      </c>
      <c r="G19" s="3">
        <f>SUMIF(Datos_Limpios_PQ!G:G,E19,Datos_Limpios_PQ!O:O)</f>
        <v>3063500</v>
      </c>
    </row>
  </sheetData>
  <mergeCells count="1">
    <mergeCell ref="A1:H1"/>
  </mergeCells>
  <printOptions horizontalCentered="1"/>
  <pageMargins left="0.75" right="0.75" top="1" bottom="1" header="0.5" footer="0.5"/>
  <pageSetup scale="92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6"/>
  <sheetViews>
    <sheetView showGridLines="0" workbookViewId="0">
      <selection activeCell="B9" sqref="B9"/>
    </sheetView>
  </sheetViews>
  <sheetFormatPr baseColWidth="10" defaultColWidth="9.140625" defaultRowHeight="15" x14ac:dyDescent="0.25"/>
  <cols>
    <col min="2" max="2" width="49" bestFit="1" customWidth="1"/>
  </cols>
  <sheetData>
    <row r="1" spans="1:2" x14ac:dyDescent="0.25">
      <c r="A1" t="s">
        <v>93</v>
      </c>
    </row>
    <row r="3" spans="1:2" x14ac:dyDescent="0.25">
      <c r="A3" t="s">
        <v>94</v>
      </c>
      <c r="B3">
        <f>Evaluación_Financiera!B7</f>
        <v>0.4</v>
      </c>
    </row>
    <row r="4" spans="1:2" x14ac:dyDescent="0.25">
      <c r="A4" t="s">
        <v>1</v>
      </c>
      <c r="B4" s="6">
        <v>46290</v>
      </c>
    </row>
    <row r="6" spans="1:2" x14ac:dyDescent="0.25">
      <c r="A6" t="s">
        <v>95</v>
      </c>
      <c r="B6" t="s">
        <v>96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E42F-C6F6-4EE0-8773-13BFB3AE9F80}">
  <dimension ref="A1:P25"/>
  <sheetViews>
    <sheetView workbookViewId="0"/>
  </sheetViews>
  <sheetFormatPr baseColWidth="10" defaultRowHeight="15" x14ac:dyDescent="0.25"/>
  <cols>
    <col min="1" max="1" width="11.42578125" bestFit="1" customWidth="1"/>
    <col min="2" max="2" width="15.140625" bestFit="1" customWidth="1"/>
    <col min="3" max="3" width="15.85546875" bestFit="1" customWidth="1"/>
    <col min="5" max="5" width="15.7109375" bestFit="1" customWidth="1"/>
    <col min="6" max="6" width="15.140625" bestFit="1" customWidth="1"/>
    <col min="7" max="7" width="15.85546875" bestFit="1" customWidth="1"/>
    <col min="10" max="10" width="10.140625" bestFit="1" customWidth="1"/>
    <col min="11" max="11" width="15.140625" bestFit="1" customWidth="1"/>
    <col min="14" max="14" width="15.140625" bestFit="1" customWidth="1"/>
    <col min="15" max="15" width="15.85546875" bestFit="1" customWidth="1"/>
    <col min="16" max="16" width="17" bestFit="1" customWidth="1"/>
  </cols>
  <sheetData>
    <row r="1" spans="1:16" x14ac:dyDescent="0.25">
      <c r="A1" s="18" t="s">
        <v>99</v>
      </c>
      <c r="B1" t="s">
        <v>100</v>
      </c>
      <c r="C1" t="s">
        <v>101</v>
      </c>
      <c r="E1" s="18" t="s">
        <v>4</v>
      </c>
      <c r="F1" t="s">
        <v>100</v>
      </c>
      <c r="G1" t="s">
        <v>101</v>
      </c>
      <c r="J1" s="18" t="s">
        <v>6</v>
      </c>
      <c r="K1" t="s">
        <v>100</v>
      </c>
      <c r="N1" t="s">
        <v>100</v>
      </c>
      <c r="O1" t="s">
        <v>101</v>
      </c>
      <c r="P1" t="s">
        <v>102</v>
      </c>
    </row>
    <row r="2" spans="1:16" x14ac:dyDescent="0.25">
      <c r="A2" s="19">
        <v>45292</v>
      </c>
      <c r="B2" s="3">
        <v>5935000</v>
      </c>
      <c r="C2" s="3">
        <v>1877000</v>
      </c>
      <c r="E2" t="s">
        <v>20</v>
      </c>
      <c r="F2" s="3">
        <v>4460000</v>
      </c>
      <c r="G2" s="3">
        <v>2571000</v>
      </c>
      <c r="J2" t="s">
        <v>30</v>
      </c>
      <c r="K2" s="3">
        <v>14650000</v>
      </c>
      <c r="N2" s="3">
        <v>131820000</v>
      </c>
      <c r="O2" s="3">
        <v>41086000</v>
      </c>
      <c r="P2">
        <v>493</v>
      </c>
    </row>
    <row r="3" spans="1:16" x14ac:dyDescent="0.25">
      <c r="A3" s="19">
        <v>45323</v>
      </c>
      <c r="B3" s="3">
        <v>7715000</v>
      </c>
      <c r="C3" s="3">
        <v>2242000</v>
      </c>
      <c r="E3" t="s">
        <v>29</v>
      </c>
      <c r="F3" s="3">
        <v>65200000</v>
      </c>
      <c r="G3" s="3">
        <v>17710000</v>
      </c>
      <c r="J3" t="s">
        <v>36</v>
      </c>
      <c r="K3" s="3">
        <v>19976000</v>
      </c>
    </row>
    <row r="4" spans="1:16" x14ac:dyDescent="0.25">
      <c r="A4" s="19">
        <v>45352</v>
      </c>
      <c r="B4" s="3">
        <v>10057000</v>
      </c>
      <c r="C4" s="3">
        <v>2945500</v>
      </c>
      <c r="E4" t="s">
        <v>35</v>
      </c>
      <c r="F4" s="3">
        <v>17510000</v>
      </c>
      <c r="G4" s="3">
        <v>7230000</v>
      </c>
      <c r="J4" t="s">
        <v>59</v>
      </c>
      <c r="K4" s="3">
        <v>14793000</v>
      </c>
    </row>
    <row r="5" spans="1:16" x14ac:dyDescent="0.25">
      <c r="A5" s="19">
        <v>45383</v>
      </c>
      <c r="B5" s="3">
        <v>8489000</v>
      </c>
      <c r="C5" s="3">
        <v>2491000</v>
      </c>
      <c r="E5" t="s">
        <v>51</v>
      </c>
      <c r="F5" s="3">
        <v>44650000</v>
      </c>
      <c r="G5" s="3">
        <v>13575000</v>
      </c>
      <c r="J5" t="s">
        <v>22</v>
      </c>
      <c r="K5" s="3">
        <v>20143000</v>
      </c>
    </row>
    <row r="6" spans="1:16" x14ac:dyDescent="0.25">
      <c r="A6" s="19">
        <v>45413</v>
      </c>
      <c r="B6" s="3">
        <v>4692000</v>
      </c>
      <c r="C6" s="3">
        <v>1459500</v>
      </c>
      <c r="J6" t="s">
        <v>43</v>
      </c>
      <c r="K6" s="3">
        <v>17457000</v>
      </c>
    </row>
    <row r="7" spans="1:16" x14ac:dyDescent="0.25">
      <c r="A7" s="19">
        <v>45444</v>
      </c>
      <c r="B7" s="3">
        <v>4985000</v>
      </c>
      <c r="C7" s="3">
        <v>1729000</v>
      </c>
      <c r="J7" t="s">
        <v>46</v>
      </c>
      <c r="K7" s="3">
        <v>9062000</v>
      </c>
    </row>
    <row r="8" spans="1:16" x14ac:dyDescent="0.25">
      <c r="A8" s="19">
        <v>45474</v>
      </c>
      <c r="B8" s="3">
        <v>3702000</v>
      </c>
      <c r="C8" s="3">
        <v>1424500</v>
      </c>
      <c r="J8" t="s">
        <v>52</v>
      </c>
      <c r="K8" s="3">
        <v>20067000</v>
      </c>
    </row>
    <row r="9" spans="1:16" x14ac:dyDescent="0.25">
      <c r="A9" s="19">
        <v>45505</v>
      </c>
      <c r="B9" s="3">
        <v>5023000</v>
      </c>
      <c r="C9" s="3">
        <v>1591000</v>
      </c>
      <c r="J9" t="s">
        <v>56</v>
      </c>
      <c r="K9" s="3">
        <v>15672000</v>
      </c>
    </row>
    <row r="10" spans="1:16" x14ac:dyDescent="0.25">
      <c r="A10" s="19">
        <v>45536</v>
      </c>
      <c r="B10" s="3">
        <v>390000</v>
      </c>
      <c r="C10" s="3">
        <v>120000</v>
      </c>
    </row>
    <row r="11" spans="1:16" x14ac:dyDescent="0.25">
      <c r="A11" s="19">
        <v>45566</v>
      </c>
      <c r="B11" s="3">
        <v>3270000</v>
      </c>
      <c r="C11" s="3">
        <v>992000</v>
      </c>
    </row>
    <row r="12" spans="1:16" x14ac:dyDescent="0.25">
      <c r="A12" s="19">
        <v>45597</v>
      </c>
      <c r="B12" s="3">
        <v>5364000</v>
      </c>
      <c r="C12" s="3">
        <v>1747000</v>
      </c>
    </row>
    <row r="13" spans="1:16" x14ac:dyDescent="0.25">
      <c r="A13" s="19">
        <v>45627</v>
      </c>
      <c r="B13" s="3">
        <v>7172000</v>
      </c>
      <c r="C13" s="3">
        <v>1940500</v>
      </c>
    </row>
    <row r="14" spans="1:16" x14ac:dyDescent="0.25">
      <c r="A14" s="19">
        <v>45658</v>
      </c>
      <c r="B14" s="3">
        <v>4055000</v>
      </c>
      <c r="C14" s="3">
        <v>1257000</v>
      </c>
    </row>
    <row r="15" spans="1:16" x14ac:dyDescent="0.25">
      <c r="A15" s="19">
        <v>45689</v>
      </c>
      <c r="B15" s="3">
        <v>6620000</v>
      </c>
      <c r="C15" s="3">
        <v>2167000</v>
      </c>
    </row>
    <row r="16" spans="1:16" x14ac:dyDescent="0.25">
      <c r="A16" s="19">
        <v>45717</v>
      </c>
      <c r="B16" s="3">
        <v>8261000</v>
      </c>
      <c r="C16" s="3">
        <v>2747000</v>
      </c>
    </row>
    <row r="17" spans="1:3" x14ac:dyDescent="0.25">
      <c r="A17" s="19">
        <v>45748</v>
      </c>
      <c r="B17" s="3">
        <v>1851000</v>
      </c>
      <c r="C17" s="3">
        <v>659000</v>
      </c>
    </row>
    <row r="18" spans="1:3" x14ac:dyDescent="0.25">
      <c r="A18" s="19">
        <v>45778</v>
      </c>
      <c r="B18" s="3">
        <v>5926000</v>
      </c>
      <c r="C18" s="3">
        <v>1626000</v>
      </c>
    </row>
    <row r="19" spans="1:3" x14ac:dyDescent="0.25">
      <c r="A19" s="19">
        <v>45809</v>
      </c>
      <c r="B19" s="3">
        <v>358000</v>
      </c>
      <c r="C19" s="3">
        <v>171500</v>
      </c>
    </row>
    <row r="20" spans="1:3" x14ac:dyDescent="0.25">
      <c r="A20" s="19">
        <v>45839</v>
      </c>
      <c r="B20" s="3">
        <v>7009000</v>
      </c>
      <c r="C20" s="3">
        <v>2146000</v>
      </c>
    </row>
    <row r="21" spans="1:3" x14ac:dyDescent="0.25">
      <c r="A21" s="19">
        <v>45870</v>
      </c>
      <c r="B21" s="3">
        <v>4088000</v>
      </c>
      <c r="C21" s="3">
        <v>1442500</v>
      </c>
    </row>
    <row r="22" spans="1:3" x14ac:dyDescent="0.25">
      <c r="A22" s="19">
        <v>45901</v>
      </c>
      <c r="B22" s="3">
        <v>2738000</v>
      </c>
      <c r="C22" s="3">
        <v>923500</v>
      </c>
    </row>
    <row r="23" spans="1:3" x14ac:dyDescent="0.25">
      <c r="A23" s="19">
        <v>45931</v>
      </c>
      <c r="B23" s="3">
        <v>6901000</v>
      </c>
      <c r="C23" s="3">
        <v>2097000</v>
      </c>
    </row>
    <row r="24" spans="1:3" x14ac:dyDescent="0.25">
      <c r="A24" s="19">
        <v>45962</v>
      </c>
      <c r="B24" s="3">
        <v>10596000</v>
      </c>
      <c r="C24" s="3">
        <v>3286500</v>
      </c>
    </row>
    <row r="25" spans="1:3" x14ac:dyDescent="0.25">
      <c r="A25" s="19">
        <v>45992</v>
      </c>
      <c r="B25" s="3">
        <v>6623000</v>
      </c>
      <c r="C25" s="3">
        <v>2004000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29F7B-A80D-4CEC-8BC2-74A5223DD687}">
  <sheetPr>
    <tabColor rgb="FF14B8A6"/>
  </sheetPr>
  <dimension ref="A1:P58"/>
  <sheetViews>
    <sheetView showGridLines="0" tabSelected="1" workbookViewId="0">
      <selection activeCell="R12" sqref="R12"/>
    </sheetView>
  </sheetViews>
  <sheetFormatPr baseColWidth="10" defaultRowHeight="15" x14ac:dyDescent="0.25"/>
  <cols>
    <col min="1" max="16" width="10.42578125" customWidth="1"/>
  </cols>
  <sheetData>
    <row r="1" spans="1:16" ht="26.1" customHeight="1" x14ac:dyDescent="0.25">
      <c r="A1" s="27" t="s">
        <v>103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</row>
    <row r="2" spans="1:16" ht="26.1" customHeight="1" x14ac:dyDescent="0.2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</row>
    <row r="3" spans="1:16" ht="20.100000000000001" customHeight="1" x14ac:dyDescent="0.25">
      <c r="A3" s="28" t="s">
        <v>104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</row>
    <row r="4" spans="1:16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</row>
    <row r="5" spans="1:16" ht="21.95" customHeight="1" x14ac:dyDescent="0.25">
      <c r="A5" s="29" t="s">
        <v>105</v>
      </c>
      <c r="B5" s="29"/>
      <c r="C5" s="29"/>
      <c r="D5" s="29" t="s">
        <v>106</v>
      </c>
      <c r="E5" s="29"/>
      <c r="F5" s="29"/>
      <c r="G5" s="29" t="s">
        <v>107</v>
      </c>
      <c r="H5" s="29"/>
      <c r="I5" s="29"/>
      <c r="J5" s="29" t="s">
        <v>108</v>
      </c>
      <c r="K5" s="29"/>
      <c r="L5" s="29"/>
      <c r="M5" s="29" t="s">
        <v>111</v>
      </c>
      <c r="N5" s="29"/>
      <c r="O5" s="29"/>
      <c r="P5" s="29"/>
    </row>
    <row r="6" spans="1:16" ht="21.95" customHeight="1" x14ac:dyDescent="0.25">
      <c r="A6" s="47">
        <f>SUBTOTAL(109,tblDatosLimpios[Ventas])</f>
        <v>131820000</v>
      </c>
      <c r="B6" s="48"/>
      <c r="C6" s="48"/>
      <c r="D6" s="47">
        <f>SUBTOTAL(109,tblDatosLimpios[Margen])</f>
        <v>41086000</v>
      </c>
      <c r="E6" s="48"/>
      <c r="F6" s="48"/>
      <c r="G6" s="32">
        <f>IFERROR(SUBTOTAL(109,tblDatosLimpios[Margen])/SUBTOTAL(109,tblDatosLimpios[Ventas]),0)</f>
        <v>0.31168259748141403</v>
      </c>
      <c r="H6" s="30"/>
      <c r="I6" s="30"/>
      <c r="J6" s="33">
        <f>SUBTOTAL(109,tblDatosLimpios[Cantidad])</f>
        <v>493</v>
      </c>
      <c r="K6" s="30"/>
      <c r="L6" s="30"/>
      <c r="M6" s="32">
        <f>IFERROR(SUMIFS(tblDatosLimpios[Ventas],tblDatosLimpios[Año],2025)/SUMIFS(tblDatosLimpios[Ventas],tblDatosLimpios[Año],2024)-1,0)</f>
        <v>-2.6469443363176359E-2</v>
      </c>
      <c r="N6" s="30"/>
      <c r="O6" s="30"/>
      <c r="P6" s="30"/>
    </row>
    <row r="7" spans="1:16" ht="21.95" customHeight="1" x14ac:dyDescent="0.25">
      <c r="A7" s="48"/>
      <c r="B7" s="48"/>
      <c r="C7" s="48"/>
      <c r="D7" s="48"/>
      <c r="E7" s="48"/>
      <c r="F7" s="4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ht="21.95" customHeight="1" thickBot="1" x14ac:dyDescent="0.3">
      <c r="A8" s="49"/>
      <c r="B8" s="49"/>
      <c r="C8" s="49"/>
      <c r="D8" s="49"/>
      <c r="E8" s="49"/>
      <c r="F8" s="49"/>
      <c r="G8" s="31"/>
      <c r="H8" s="31"/>
      <c r="I8" s="31"/>
      <c r="J8" s="31"/>
      <c r="K8" s="31"/>
      <c r="L8" s="31"/>
      <c r="M8" s="31"/>
      <c r="N8" s="31"/>
      <c r="O8" s="31"/>
      <c r="P8" s="31"/>
    </row>
    <row r="9" spans="1:16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1:16" x14ac:dyDescent="0.25">
      <c r="A10" s="37" t="s">
        <v>109</v>
      </c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1:16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</row>
    <row r="12" spans="1:16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1:16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6" ht="24" customHeight="1" x14ac:dyDescent="0.25">
      <c r="A14" s="45"/>
      <c r="B14" s="45"/>
      <c r="C14" s="45"/>
      <c r="D14" s="45"/>
      <c r="E14" s="45"/>
      <c r="F14" s="45"/>
      <c r="G14" s="45"/>
      <c r="H14" s="45"/>
    </row>
    <row r="15" spans="1:16" ht="24" customHeight="1" x14ac:dyDescent="0.25">
      <c r="A15" s="37" t="str">
        <f>"Relación ventas–margen · "&amp;SUBTOTAL(103,tblDatosLimpios[ID_Venta])&amp;" operaciones visibles"</f>
        <v>Relación ventas–margen · 200 operaciones visibles</v>
      </c>
      <c r="B15" s="37"/>
      <c r="C15" s="37"/>
      <c r="D15" s="37"/>
      <c r="E15" s="37"/>
      <c r="F15" s="37"/>
      <c r="G15" s="37"/>
      <c r="H15" s="37"/>
      <c r="I15" s="24"/>
      <c r="J15" s="24"/>
      <c r="K15" s="24"/>
      <c r="L15" s="24"/>
      <c r="M15" s="24"/>
      <c r="N15" s="24"/>
      <c r="O15" s="24"/>
      <c r="P15" s="24"/>
    </row>
    <row r="16" spans="1:16" ht="24" customHeight="1" x14ac:dyDescent="0.25">
      <c r="A16" s="22"/>
      <c r="B16" s="22"/>
      <c r="C16" s="22"/>
      <c r="D16" s="22"/>
      <c r="E16" s="22"/>
      <c r="F16" s="22"/>
      <c r="G16" s="22"/>
      <c r="H16" s="22"/>
      <c r="I16" s="24"/>
      <c r="J16" s="24"/>
      <c r="K16" s="24"/>
      <c r="L16" s="24"/>
      <c r="M16" s="24"/>
      <c r="N16" s="24"/>
      <c r="O16" s="24"/>
      <c r="P16" s="24"/>
    </row>
    <row r="17" spans="1:16" ht="24" customHeight="1" x14ac:dyDescent="0.25">
      <c r="A17" s="22"/>
      <c r="B17" s="22"/>
      <c r="C17" s="22"/>
      <c r="D17" s="22"/>
      <c r="E17" s="22"/>
      <c r="F17" s="22"/>
      <c r="G17" s="22"/>
      <c r="H17" s="22"/>
      <c r="I17" s="24"/>
      <c r="J17" s="24"/>
      <c r="K17" s="24"/>
      <c r="L17" s="24"/>
      <c r="M17" s="24"/>
      <c r="N17" s="24"/>
      <c r="O17" s="24"/>
      <c r="P17" s="24"/>
    </row>
    <row r="18" spans="1:16" ht="24" customHeight="1" x14ac:dyDescent="0.25">
      <c r="A18" s="22"/>
      <c r="B18" s="22"/>
      <c r="C18" s="22"/>
      <c r="D18" s="22"/>
      <c r="E18" s="22"/>
      <c r="F18" s="22"/>
      <c r="G18" s="22"/>
      <c r="H18" s="22"/>
      <c r="I18" s="24"/>
      <c r="J18" s="24"/>
      <c r="K18" s="24"/>
      <c r="L18" s="24"/>
      <c r="M18" s="24"/>
      <c r="N18" s="24"/>
      <c r="O18" s="24"/>
      <c r="P18" s="24"/>
    </row>
    <row r="19" spans="1:16" ht="24" customHeight="1" x14ac:dyDescent="0.25">
      <c r="A19" s="22"/>
      <c r="B19" s="22"/>
      <c r="C19" s="22"/>
      <c r="D19" s="22"/>
      <c r="E19" s="22"/>
      <c r="F19" s="22"/>
      <c r="G19" s="22"/>
      <c r="H19" s="22"/>
      <c r="I19" s="24"/>
      <c r="J19" s="24"/>
      <c r="K19" s="24"/>
      <c r="L19" s="24"/>
      <c r="M19" s="24"/>
      <c r="N19" s="24"/>
      <c r="O19" s="24"/>
      <c r="P19" s="24"/>
    </row>
    <row r="20" spans="1:16" ht="24" customHeight="1" x14ac:dyDescent="0.25">
      <c r="A20" s="22"/>
      <c r="B20" s="22"/>
      <c r="C20" s="22"/>
      <c r="D20" s="22"/>
      <c r="E20" s="22"/>
      <c r="F20" s="22"/>
      <c r="G20" s="22"/>
      <c r="H20" s="22"/>
    </row>
    <row r="21" spans="1:16" ht="24" customHeight="1" x14ac:dyDescent="0.25">
      <c r="A21" s="22"/>
      <c r="B21" s="22"/>
      <c r="C21" s="22"/>
      <c r="D21" s="22"/>
      <c r="E21" s="22"/>
      <c r="F21" s="22"/>
      <c r="G21" s="22"/>
      <c r="H21" s="22"/>
      <c r="I21" s="38" t="str">
        <f>"La selección suma $"&amp;ROUND(SUBTOTAL(109,tblDatosLimpios[Ventas])/1000000,1)&amp;" M, con margen de "&amp;TEXT(IFERROR(SUBTOTAL(109,tblDatosLimpios[Margen])/SUBTOTAL(109,tblDatosLimpios[Ventas]),0),"0.0%")</f>
        <v>La selección suma $131,8 M, con margen de 31%</v>
      </c>
      <c r="J21" s="38"/>
      <c r="K21" s="38"/>
      <c r="L21" s="38"/>
      <c r="M21" s="38"/>
      <c r="N21" s="38"/>
      <c r="O21" s="38"/>
      <c r="P21" s="38"/>
    </row>
    <row r="22" spans="1:16" ht="24" customHeight="1" x14ac:dyDescent="0.25">
      <c r="A22" s="22"/>
      <c r="B22" s="22"/>
      <c r="C22" s="22"/>
      <c r="D22" s="22"/>
      <c r="E22" s="22"/>
      <c r="F22" s="22"/>
      <c r="G22" s="22"/>
      <c r="H22" s="22"/>
      <c r="I22" s="24"/>
      <c r="J22" s="24"/>
      <c r="K22" s="24"/>
      <c r="L22" s="24"/>
      <c r="M22" s="24"/>
      <c r="N22" s="24"/>
      <c r="O22" s="24"/>
      <c r="P22" s="24"/>
    </row>
    <row r="23" spans="1:16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5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5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5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5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5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5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ht="24" customHeight="1" x14ac:dyDescent="0.25">
      <c r="A40" s="46" t="str">
        <f>"Dispersión temporal · "&amp;SUBTOTAL(103,tblDatosLimpios[ID_Venta])&amp;" operaciones visibles"</f>
        <v>Dispersión temporal · 200 operaciones visibles</v>
      </c>
      <c r="B40" s="46"/>
      <c r="C40" s="46"/>
      <c r="D40" s="46"/>
      <c r="E40" s="46"/>
      <c r="F40" s="46"/>
      <c r="G40" s="46"/>
      <c r="H40" s="46"/>
      <c r="I40" s="39" t="s">
        <v>110</v>
      </c>
      <c r="J40" s="39"/>
      <c r="K40" s="39"/>
      <c r="L40" s="39"/>
      <c r="M40" s="39"/>
      <c r="N40" s="39"/>
      <c r="O40" s="39"/>
      <c r="P40" s="39"/>
    </row>
    <row r="41" spans="1:16" x14ac:dyDescent="0.25">
      <c r="A41" s="20"/>
      <c r="B41" s="20"/>
      <c r="C41" s="20"/>
      <c r="D41" s="20"/>
      <c r="E41" s="20"/>
      <c r="F41" s="20"/>
      <c r="G41" s="20"/>
      <c r="H41" s="20"/>
      <c r="I41" s="39"/>
      <c r="J41" s="39"/>
      <c r="K41" s="39"/>
      <c r="L41" s="39"/>
      <c r="M41" s="39"/>
      <c r="N41" s="39"/>
      <c r="O41" s="39"/>
      <c r="P41" s="39"/>
    </row>
    <row r="42" spans="1:16" x14ac:dyDescent="0.25">
      <c r="A42" s="20"/>
      <c r="B42" s="20"/>
      <c r="C42" s="20"/>
      <c r="D42" s="20"/>
      <c r="E42" s="20"/>
      <c r="F42" s="20"/>
      <c r="G42" s="20"/>
      <c r="H42" s="20"/>
      <c r="I42" s="21"/>
      <c r="J42" s="21"/>
      <c r="K42" s="21"/>
      <c r="L42" s="21"/>
      <c r="M42" s="21"/>
      <c r="N42" s="21"/>
      <c r="O42" s="21"/>
      <c r="P42" s="21"/>
    </row>
    <row r="43" spans="1:16" ht="20.100000000000001" customHeight="1" x14ac:dyDescent="0.25">
      <c r="A43" s="20"/>
      <c r="B43" s="20"/>
      <c r="C43" s="20"/>
      <c r="D43" s="20"/>
      <c r="E43" s="20"/>
      <c r="F43" s="20"/>
      <c r="G43" s="20"/>
      <c r="H43" s="20"/>
      <c r="I43" s="34" t="s">
        <v>112</v>
      </c>
      <c r="J43" s="34"/>
      <c r="K43" s="34"/>
      <c r="L43" s="34"/>
      <c r="M43" s="34"/>
      <c r="N43" s="34"/>
      <c r="O43" s="34"/>
      <c r="P43" s="34"/>
    </row>
    <row r="44" spans="1:16" ht="20.100000000000001" customHeight="1" x14ac:dyDescent="0.25">
      <c r="A44" s="20"/>
      <c r="B44" s="20"/>
      <c r="C44" s="20"/>
      <c r="D44" s="20"/>
      <c r="E44" s="20"/>
      <c r="F44" s="20"/>
      <c r="G44" s="20"/>
      <c r="H44" s="20"/>
      <c r="I44" s="34"/>
      <c r="J44" s="34"/>
      <c r="K44" s="34"/>
      <c r="L44" s="34"/>
      <c r="M44" s="34"/>
      <c r="N44" s="34"/>
      <c r="O44" s="34"/>
      <c r="P44" s="34"/>
    </row>
    <row r="45" spans="1:16" ht="20.100000000000001" customHeight="1" x14ac:dyDescent="0.25">
      <c r="A45" s="20"/>
      <c r="B45" s="20"/>
      <c r="C45" s="20"/>
      <c r="D45" s="20"/>
      <c r="E45" s="20"/>
      <c r="F45" s="20"/>
      <c r="G45" s="20"/>
      <c r="H45" s="20"/>
      <c r="I45" s="34"/>
      <c r="J45" s="34"/>
      <c r="K45" s="34"/>
      <c r="L45" s="34"/>
      <c r="M45" s="34"/>
      <c r="N45" s="34"/>
      <c r="O45" s="34"/>
      <c r="P45" s="34"/>
    </row>
    <row r="46" spans="1:16" ht="20.100000000000001" customHeight="1" x14ac:dyDescent="0.25">
      <c r="A46" s="20"/>
      <c r="B46" s="20"/>
      <c r="C46" s="20"/>
      <c r="D46" s="20"/>
      <c r="E46" s="20"/>
      <c r="F46" s="20"/>
      <c r="G46" s="20"/>
      <c r="H46" s="20"/>
      <c r="I46" s="23"/>
      <c r="J46" s="23"/>
      <c r="K46" s="23"/>
      <c r="L46" s="23"/>
      <c r="M46" s="23"/>
      <c r="N46" s="23"/>
      <c r="O46" s="23"/>
      <c r="P46" s="23"/>
    </row>
    <row r="47" spans="1:16" ht="20.100000000000001" customHeight="1" x14ac:dyDescent="0.25">
      <c r="A47" s="20"/>
      <c r="B47" s="20"/>
      <c r="C47" s="20"/>
      <c r="D47" s="20"/>
      <c r="E47" s="20"/>
      <c r="F47" s="20"/>
      <c r="G47" s="20"/>
      <c r="H47" s="20"/>
      <c r="I47" s="34" t="s">
        <v>113</v>
      </c>
      <c r="J47" s="34"/>
      <c r="K47" s="34"/>
      <c r="L47" s="34"/>
      <c r="M47" s="34"/>
      <c r="N47" s="34"/>
      <c r="O47" s="34"/>
      <c r="P47" s="34"/>
    </row>
    <row r="48" spans="1:16" ht="20.100000000000001" customHeight="1" x14ac:dyDescent="0.25">
      <c r="A48" s="20"/>
      <c r="B48" s="20"/>
      <c r="C48" s="20"/>
      <c r="D48" s="20"/>
      <c r="E48" s="20"/>
      <c r="F48" s="20"/>
      <c r="G48" s="20"/>
      <c r="H48" s="20"/>
      <c r="I48" s="34"/>
      <c r="J48" s="34"/>
      <c r="K48" s="34"/>
      <c r="L48" s="34"/>
      <c r="M48" s="34"/>
      <c r="N48" s="34"/>
      <c r="O48" s="34"/>
      <c r="P48" s="34"/>
    </row>
    <row r="49" spans="1:16" ht="20.100000000000001" customHeight="1" x14ac:dyDescent="0.25">
      <c r="A49" s="20"/>
      <c r="B49" s="20"/>
      <c r="C49" s="20"/>
      <c r="D49" s="20"/>
      <c r="E49" s="20"/>
      <c r="F49" s="20"/>
      <c r="G49" s="20"/>
      <c r="H49" s="20"/>
      <c r="I49" s="34"/>
      <c r="J49" s="34"/>
      <c r="K49" s="34"/>
      <c r="L49" s="34"/>
      <c r="M49" s="34"/>
      <c r="N49" s="34"/>
      <c r="O49" s="34"/>
      <c r="P49" s="34"/>
    </row>
    <row r="50" spans="1:16" ht="20.100000000000001" customHeight="1" x14ac:dyDescent="0.25">
      <c r="A50" s="20"/>
      <c r="B50" s="20"/>
      <c r="C50" s="20"/>
      <c r="D50" s="20"/>
      <c r="E50" s="20"/>
      <c r="F50" s="20"/>
      <c r="G50" s="20"/>
      <c r="H50" s="20"/>
      <c r="I50" s="23"/>
      <c r="J50" s="23"/>
      <c r="K50" s="23"/>
      <c r="L50" s="23"/>
      <c r="M50" s="23"/>
      <c r="N50" s="23"/>
      <c r="O50" s="23"/>
      <c r="P50" s="23"/>
    </row>
    <row r="51" spans="1:16" ht="20.100000000000001" customHeight="1" x14ac:dyDescent="0.25">
      <c r="A51" s="20"/>
      <c r="B51" s="20"/>
      <c r="C51" s="20"/>
      <c r="D51" s="20"/>
      <c r="E51" s="20"/>
      <c r="F51" s="20"/>
      <c r="G51" s="20"/>
      <c r="H51" s="20"/>
      <c r="I51" s="35" t="s">
        <v>139</v>
      </c>
      <c r="J51" s="35"/>
      <c r="K51" s="35"/>
      <c r="L51" s="35"/>
      <c r="M51" s="35"/>
      <c r="N51" s="35"/>
      <c r="O51" s="35"/>
      <c r="P51" s="35"/>
    </row>
    <row r="52" spans="1:16" ht="20.100000000000001" customHeight="1" x14ac:dyDescent="0.25">
      <c r="A52" s="20"/>
      <c r="B52" s="20"/>
      <c r="C52" s="20"/>
      <c r="D52" s="20"/>
      <c r="E52" s="20"/>
      <c r="F52" s="20"/>
      <c r="G52" s="20"/>
      <c r="H52" s="20"/>
      <c r="I52" s="35"/>
      <c r="J52" s="35"/>
      <c r="K52" s="35"/>
      <c r="L52" s="35"/>
      <c r="M52" s="35"/>
      <c r="N52" s="35"/>
      <c r="O52" s="35"/>
      <c r="P52" s="35"/>
    </row>
    <row r="53" spans="1:16" ht="20.100000000000001" customHeight="1" x14ac:dyDescent="0.25">
      <c r="A53" s="20"/>
      <c r="B53" s="20"/>
      <c r="C53" s="20"/>
      <c r="D53" s="20"/>
      <c r="E53" s="20"/>
      <c r="F53" s="20"/>
      <c r="G53" s="20"/>
      <c r="H53" s="20"/>
      <c r="I53" s="35"/>
      <c r="J53" s="35"/>
      <c r="K53" s="35"/>
      <c r="L53" s="35"/>
      <c r="M53" s="35"/>
      <c r="N53" s="35"/>
      <c r="O53" s="35"/>
      <c r="P53" s="35"/>
    </row>
    <row r="54" spans="1:16" ht="20.100000000000001" customHeight="1" x14ac:dyDescent="0.25">
      <c r="A54" s="20"/>
      <c r="B54" s="20"/>
      <c r="C54" s="20"/>
      <c r="D54" s="20"/>
      <c r="E54" s="20"/>
      <c r="F54" s="20"/>
      <c r="G54" s="20"/>
      <c r="H54" s="20"/>
      <c r="I54" s="35"/>
      <c r="J54" s="35"/>
      <c r="K54" s="35"/>
      <c r="L54" s="35"/>
      <c r="M54" s="35"/>
      <c r="N54" s="35"/>
      <c r="O54" s="35"/>
      <c r="P54" s="35"/>
    </row>
    <row r="55" spans="1:16" x14ac:dyDescent="0.25">
      <c r="A55" s="20"/>
      <c r="B55" s="20"/>
      <c r="C55" s="20"/>
      <c r="D55" s="20"/>
      <c r="E55" s="20"/>
      <c r="F55" s="20"/>
      <c r="G55" s="20"/>
      <c r="H55" s="20"/>
      <c r="I55" s="21"/>
      <c r="J55" s="21"/>
      <c r="K55" s="21"/>
      <c r="L55" s="21"/>
      <c r="M55" s="21"/>
      <c r="N55" s="21"/>
      <c r="O55" s="21"/>
      <c r="P55" s="21"/>
    </row>
    <row r="56" spans="1:16" x14ac:dyDescent="0.25">
      <c r="A56" s="20"/>
      <c r="B56" s="20"/>
      <c r="C56" s="20"/>
      <c r="D56" s="20"/>
      <c r="E56" s="20"/>
      <c r="F56" s="20"/>
      <c r="G56" s="20"/>
      <c r="H56" s="20"/>
      <c r="I56" s="36" t="s">
        <v>114</v>
      </c>
      <c r="J56" s="36"/>
      <c r="K56" s="36"/>
      <c r="L56" s="36"/>
      <c r="M56" s="36"/>
      <c r="N56" s="36"/>
      <c r="O56" s="36"/>
      <c r="P56" s="36"/>
    </row>
    <row r="57" spans="1:16" x14ac:dyDescent="0.25">
      <c r="A57" s="20"/>
      <c r="B57" s="20"/>
      <c r="C57" s="20"/>
      <c r="D57" s="20"/>
      <c r="E57" s="20"/>
      <c r="F57" s="20"/>
      <c r="G57" s="20"/>
      <c r="H57" s="20"/>
      <c r="I57" s="36"/>
      <c r="J57" s="36"/>
      <c r="K57" s="36"/>
      <c r="L57" s="36"/>
      <c r="M57" s="36"/>
      <c r="N57" s="36"/>
      <c r="O57" s="36"/>
      <c r="P57" s="36"/>
    </row>
    <row r="58" spans="1:16" x14ac:dyDescent="0.25">
      <c r="A58" s="20"/>
      <c r="B58" s="20"/>
      <c r="C58" s="20"/>
      <c r="D58" s="20"/>
      <c r="E58" s="20"/>
      <c r="F58" s="20"/>
      <c r="G58" s="20"/>
      <c r="H58" s="20"/>
      <c r="I58" s="36"/>
      <c r="J58" s="36"/>
      <c r="K58" s="36"/>
      <c r="L58" s="36"/>
      <c r="M58" s="36"/>
      <c r="N58" s="36"/>
      <c r="O58" s="36"/>
      <c r="P58" s="36"/>
    </row>
  </sheetData>
  <mergeCells count="21">
    <mergeCell ref="I43:P45"/>
    <mergeCell ref="I47:P49"/>
    <mergeCell ref="I51:P54"/>
    <mergeCell ref="I56:P58"/>
    <mergeCell ref="M5:P5"/>
    <mergeCell ref="M6:P8"/>
    <mergeCell ref="A10:P10"/>
    <mergeCell ref="A15:H15"/>
    <mergeCell ref="I21:P21"/>
    <mergeCell ref="A40:H40"/>
    <mergeCell ref="I40:P41"/>
    <mergeCell ref="A1:P2"/>
    <mergeCell ref="A3:P3"/>
    <mergeCell ref="A5:C5"/>
    <mergeCell ref="A6:C8"/>
    <mergeCell ref="D5:F5"/>
    <mergeCell ref="D6:F8"/>
    <mergeCell ref="G5:I5"/>
    <mergeCell ref="G6:I8"/>
    <mergeCell ref="J5:L5"/>
    <mergeCell ref="J6:L8"/>
  </mergeCells>
  <pageMargins left="0.7" right="0.7" top="0.75" bottom="0.75" header="0.3" footer="0.3"/>
  <drawing r:id="rId1"/>
  <extLs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D5648-E717-4A4F-BBAB-BC488B3CE8C6}">
  <sheetPr>
    <tabColor rgb="FFF59E0B"/>
  </sheetPr>
  <dimension ref="A1:B13"/>
  <sheetViews>
    <sheetView showGridLines="0" workbookViewId="0">
      <selection activeCell="T11" sqref="T11"/>
    </sheetView>
  </sheetViews>
  <sheetFormatPr baseColWidth="10" defaultRowHeight="15" x14ac:dyDescent="0.25"/>
  <cols>
    <col min="1" max="1" width="27.5703125" customWidth="1"/>
    <col min="2" max="2" width="81.85546875" customWidth="1"/>
  </cols>
  <sheetData>
    <row r="1" spans="1:2" ht="21" x14ac:dyDescent="0.35">
      <c r="A1" s="44" t="s">
        <v>115</v>
      </c>
      <c r="B1" s="44"/>
    </row>
    <row r="2" spans="1:2" x14ac:dyDescent="0.25">
      <c r="A2" s="25" t="s">
        <v>95</v>
      </c>
      <c r="B2" s="26" t="s">
        <v>116</v>
      </c>
    </row>
    <row r="3" spans="1:2" ht="30" x14ac:dyDescent="0.25">
      <c r="A3" s="25" t="s">
        <v>117</v>
      </c>
      <c r="B3" s="26" t="s">
        <v>118</v>
      </c>
    </row>
    <row r="4" spans="1:2" x14ac:dyDescent="0.25">
      <c r="A4" s="25" t="s">
        <v>119</v>
      </c>
      <c r="B4" s="26" t="s">
        <v>120</v>
      </c>
    </row>
    <row r="5" spans="1:2" ht="45" x14ac:dyDescent="0.25">
      <c r="A5" s="25" t="s">
        <v>121</v>
      </c>
      <c r="B5" s="26" t="s">
        <v>122</v>
      </c>
    </row>
    <row r="6" spans="1:2" ht="30" x14ac:dyDescent="0.25">
      <c r="A6" s="25" t="s">
        <v>123</v>
      </c>
      <c r="B6" s="26" t="s">
        <v>124</v>
      </c>
    </row>
    <row r="7" spans="1:2" x14ac:dyDescent="0.25">
      <c r="A7" s="25" t="s">
        <v>125</v>
      </c>
      <c r="B7" s="26" t="s">
        <v>126</v>
      </c>
    </row>
    <row r="8" spans="1:2" ht="30" x14ac:dyDescent="0.25">
      <c r="A8" s="25" t="s">
        <v>127</v>
      </c>
      <c r="B8" s="26" t="s">
        <v>128</v>
      </c>
    </row>
    <row r="9" spans="1:2" ht="30" x14ac:dyDescent="0.25">
      <c r="A9" s="25" t="s">
        <v>129</v>
      </c>
      <c r="B9" s="26" t="s">
        <v>130</v>
      </c>
    </row>
    <row r="10" spans="1:2" ht="30" x14ac:dyDescent="0.25">
      <c r="A10" s="25" t="s">
        <v>131</v>
      </c>
      <c r="B10" s="26" t="s">
        <v>132</v>
      </c>
    </row>
    <row r="11" spans="1:2" ht="30" x14ac:dyDescent="0.25">
      <c r="A11" s="25" t="s">
        <v>133</v>
      </c>
      <c r="B11" s="26" t="s">
        <v>134</v>
      </c>
    </row>
    <row r="12" spans="1:2" ht="30" x14ac:dyDescent="0.25">
      <c r="A12" s="25" t="s">
        <v>135</v>
      </c>
      <c r="B12" s="26" t="s">
        <v>136</v>
      </c>
    </row>
    <row r="13" spans="1:2" ht="30" x14ac:dyDescent="0.25">
      <c r="A13" s="25" t="s">
        <v>137</v>
      </c>
      <c r="B13" s="26" t="s">
        <v>138</v>
      </c>
    </row>
  </sheetData>
  <mergeCells count="1">
    <mergeCell ref="A1: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Datos_Limpios_PQ</vt:lpstr>
      <vt:lpstr>Dashboard_Ejecutivo</vt:lpstr>
      <vt:lpstr>Configuración</vt:lpstr>
      <vt:lpstr>Modelo_Dashboard</vt:lpstr>
      <vt:lpstr>Dashboard Final</vt:lpstr>
      <vt:lpstr>Analisis_IA</vt:lpstr>
      <vt:lpstr>Dashboard_Ejecutivo!Área_de_impresión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Enzo Adaro</cp:lastModifiedBy>
  <cp:lastPrinted>2026-09-25T23:17:13Z</cp:lastPrinted>
  <dcterms:created xsi:type="dcterms:W3CDTF">2026-09-25T22:47:29Z</dcterms:created>
  <dcterms:modified xsi:type="dcterms:W3CDTF">2026-09-30T01:07:55Z</dcterms:modified>
</cp:coreProperties>
</file>